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개요" sheetId="1" state="visible" r:id="rId1"/>
    <sheet name="업무분해" sheetId="2" state="visible" r:id="rId2"/>
    <sheet name="프로젝트흐름" sheetId="3" state="visible" r:id="rId3"/>
    <sheet name="시간단위별" sheetId="4" state="visible" r:id="rId4"/>
    <sheet name="요약분석" sheetId="5" state="visible" r:id="rId5"/>
    <sheet name="AI활용후보" sheetId="6" state="visible" r:id="rId6"/>
  </sheets>
  <definedNames>
    <definedName name="_xlnm._FilterDatabase" localSheetId="1" hidden="1">'업무분해'!$A$1:$Q$45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13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b val="1"/>
    </font>
    <font>
      <name val="Arial"/>
    </font>
    <font>
      <name val="Arial"/>
      <b val="1"/>
      <color rgb="000000FF"/>
    </font>
    <font>
      <name val="Arial"/>
      <b val="1"/>
      <color rgb="00FFFFFF"/>
    </font>
    <font>
      <name val="Arial"/>
      <color rgb="00000000"/>
    </font>
    <font>
      <name val="Arial"/>
      <color rgb="000000FF"/>
    </font>
    <font>
      <name val="Arial"/>
      <b val="1"/>
      <color rgb="00000000"/>
    </font>
    <font>
      <name val="Arial"/>
      <i val="1"/>
      <color rgb="006B7280"/>
    </font>
    <font>
      <name val="Arial"/>
      <color rgb="00008000"/>
    </font>
    <font>
      <name val="Arial"/>
      <b val="1"/>
      <sz val="14"/>
    </font>
    <font>
      <name val="Arial"/>
      <b val="1"/>
      <sz val="12"/>
    </font>
  </fonts>
  <fills count="6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FFF9DB"/>
      </patternFill>
    </fill>
    <fill>
      <patternFill patternType="solid">
        <fgColor rgb="00FDE2E1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0D4DA"/>
      </left>
      <right style="thin">
        <color rgb="00D0D4DA"/>
      </right>
      <top style="thin">
        <color rgb="00D0D4DA"/>
      </top>
      <bottom style="thin">
        <color rgb="00D0D4DA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/>
    </xf>
    <xf numFmtId="0" fontId="3" fillId="2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/>
    </xf>
    <xf numFmtId="0" fontId="2" fillId="4" borderId="0" applyAlignment="1" pivotButton="0" quotePrefix="0" xfId="0">
      <alignment vertical="top"/>
    </xf>
    <xf numFmtId="0" fontId="5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vertical="top" wrapText="1"/>
    </xf>
    <xf numFmtId="2" fontId="7" fillId="3" borderId="1" applyAlignment="1" pivotButton="0" quotePrefix="0" xfId="0">
      <alignment horizontal="center" vertical="top" wrapText="1"/>
    </xf>
    <xf numFmtId="164" fontId="7" fillId="3" borderId="1" applyAlignment="1" pivotButton="0" quotePrefix="0" xfId="0">
      <alignment horizontal="center" vertical="top" wrapText="1"/>
    </xf>
    <xf numFmtId="164" fontId="6" fillId="0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vertical="top" wrapText="1"/>
    </xf>
    <xf numFmtId="164" fontId="6" fillId="4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vertical="top" wrapText="1"/>
    </xf>
    <xf numFmtId="0" fontId="9" fillId="0" borderId="0" pivotButton="0" quotePrefix="0" xfId="0"/>
    <xf numFmtId="0" fontId="10" fillId="0" borderId="1" applyAlignment="1" pivotButton="0" quotePrefix="0" xfId="0">
      <alignment horizontal="center" vertical="top" wrapText="1"/>
    </xf>
    <xf numFmtId="0" fontId="10" fillId="0" borderId="1" applyAlignment="1" pivotButton="0" quotePrefix="0" xfId="0">
      <alignment vertical="top" wrapText="1"/>
    </xf>
    <xf numFmtId="164" fontId="10" fillId="0" borderId="1" applyAlignment="1" pivotButton="0" quotePrefix="0" xfId="0">
      <alignment horizontal="center" vertical="top" wrapText="1"/>
    </xf>
    <xf numFmtId="0" fontId="2" fillId="2" borderId="1" pivotButton="0" quotePrefix="0" xfId="0"/>
    <xf numFmtId="164" fontId="2" fillId="2" borderId="1" applyAlignment="1" pivotButton="0" quotePrefix="0" xfId="0">
      <alignment horizontal="center" vertical="top" wrapText="1"/>
    </xf>
    <xf numFmtId="0" fontId="1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12" fillId="0" borderId="0" pivotButton="0" quotePrefix="0" xfId="0"/>
    <xf numFmtId="0" fontId="5" fillId="5" borderId="1" applyAlignment="1" pivotButton="0" quotePrefix="0" xfId="0">
      <alignment horizontal="center"/>
    </xf>
    <xf numFmtId="165" fontId="6" fillId="0" borderId="1" applyAlignment="1" pivotButton="0" quotePrefix="0" xfId="0">
      <alignment horizontal="center" vertical="top" wrapText="1"/>
    </xf>
    <xf numFmtId="0" fontId="8" fillId="2" borderId="1" applyAlignment="1" pivotButton="0" quotePrefix="0" xfId="0">
      <alignment vertical="top" wrapText="1"/>
    </xf>
    <xf numFmtId="0" fontId="8" fillId="2" borderId="1" applyAlignment="1" pivotButton="0" quotePrefix="0" xfId="0">
      <alignment horizontal="center" vertical="top" wrapText="1"/>
    </xf>
    <xf numFmtId="164" fontId="8" fillId="2" borderId="1" applyAlignment="1" pivotButton="0" quotePrefix="0" xfId="0">
      <alignment horizontal="center" vertical="top" wrapText="1"/>
    </xf>
    <xf numFmtId="165" fontId="8" fillId="2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개인 업무 세분화 — Unity 클라이언트 개발자</t>
        </is>
      </c>
    </row>
    <row r="3">
      <c r="A3" s="2" t="inlineStr">
        <is>
          <t>과제</t>
        </is>
      </c>
      <c r="B3" s="3" t="inlineStr">
        <is>
          <t>AI 에이전트 강의 과제 2: 개인 업무 세분화</t>
        </is>
      </c>
    </row>
    <row r="4">
      <c r="A4" s="2" t="inlineStr">
        <is>
          <t>작성일</t>
        </is>
      </c>
      <c r="B4" s="3" t="inlineStr">
        <is>
          <t>2026-10-05</t>
        </is>
      </c>
    </row>
    <row r="5">
      <c r="A5" s="2" t="inlineStr">
        <is>
          <t>직무</t>
        </is>
      </c>
      <c r="B5" s="3" t="inlineStr">
        <is>
          <t>Unity 클라이언트 개발자 (키글 스튜디오)</t>
        </is>
      </c>
    </row>
    <row r="6">
      <c r="A6" s="2" t="inlineStr">
        <is>
          <t>팀 구성</t>
        </is>
      </c>
      <c r="B6" s="3" t="inlineStr">
        <is>
          <t>프로젝트 1개당 클라이언트 1 · 기획 1 · 사운드 1. 프로젝트의 Unity 업무는 본인 1인 전담</t>
        </is>
      </c>
    </row>
    <row r="7">
      <c r="A7" s="2" t="inlineStr">
        <is>
          <t>사용 도구</t>
        </is>
      </c>
      <c r="B7" s="3" t="inlineStr">
        <is>
          <t>Unity, GitLab, Slack, 스프레드시트(팀 스케줄 공유표, 피드백 시트, 사운드 키 시트, 다국어 시트)</t>
        </is>
      </c>
    </row>
    <row r="8">
      <c r="A8" s="2" t="inlineStr"/>
      <c r="B8" s="3" t="inlineStr"/>
    </row>
    <row r="9">
      <c r="A9" s="4" t="inlineStr">
        <is>
          <t>시트 구성</t>
        </is>
      </c>
      <c r="B9" s="5" t="inlineStr"/>
    </row>
    <row r="10">
      <c r="A10" s="2" t="inlineStr">
        <is>
          <t>업무분해</t>
        </is>
      </c>
      <c r="B10" s="3" t="inlineStr">
        <is>
          <t>업무 1건 = 1행. 대분류 → 중분류 → 세부 작업 3단계, 단계·시간 단위·소요 시간·AI 활용 가능성 포함 (원본 데이터)</t>
        </is>
      </c>
    </row>
    <row r="11">
      <c r="A11" s="2" t="inlineStr">
        <is>
          <t>프로젝트흐름</t>
        </is>
      </c>
      <c r="B11" s="3" t="inlineStr">
        <is>
          <t>팀 진행도 표 기준 프로젝트 단계 순서와 단계별 개발자 업무 (업무 ID로 연결)</t>
        </is>
      </c>
    </row>
    <row r="12">
      <c r="A12" s="2" t="inlineStr">
        <is>
          <t>시간단위별</t>
        </is>
      </c>
      <c r="B12" s="3" t="inlineStr">
        <is>
          <t>일간 / 주간 / 프로젝트 단계별 / 비정기로 묶어 본 업무 목록 (업무분해 시트를 참조)</t>
        </is>
      </c>
    </row>
    <row r="13">
      <c r="A13" s="2" t="inlineStr">
        <is>
          <t>요약분석</t>
        </is>
      </c>
      <c r="B13" s="3" t="inlineStr">
        <is>
          <t>대분류·시간 단위·AI 활용 가능성별 작업 수와 월 소요 시간 (수식으로 자동 집계)</t>
        </is>
      </c>
    </row>
    <row r="14">
      <c r="A14" s="2" t="inlineStr">
        <is>
          <t>AI활용후보</t>
        </is>
      </c>
      <c r="B14" s="3" t="inlineStr">
        <is>
          <t>AI 에이전트로 자동화·보조할 업무 우선순위와 구체적인 방법</t>
        </is>
      </c>
    </row>
    <row r="15">
      <c r="A15" s="2" t="inlineStr"/>
      <c r="B15" s="3" t="inlineStr"/>
    </row>
    <row r="16">
      <c r="A16" s="4" t="inlineStr">
        <is>
          <t>분류 기준</t>
        </is>
      </c>
      <c r="B16" s="5" t="inlineStr"/>
    </row>
    <row r="17">
      <c r="A17" s="2" t="inlineStr">
        <is>
          <t>시간 단위</t>
        </is>
      </c>
      <c r="B17" s="3" t="inlineStr">
        <is>
          <t>일간: 거의 매일 / 주간: 주 1회 이상 / 프로젝트 단계별: 해당 단계에서 반복 / 비정기: 프로젝트당 1회 또는 이슈 발생 시</t>
        </is>
      </c>
    </row>
    <row r="18">
      <c r="A18" s="2" t="inlineStr">
        <is>
          <t>반복성</t>
        </is>
      </c>
      <c r="B18" s="3" t="inlineStr">
        <is>
          <t>상: 같은 절차를 자주 반복 / 중: 절차는 비슷하나 내용이 매번 다름 / 하: 매번 판단이 필요</t>
        </is>
      </c>
    </row>
    <row r="19">
      <c r="A19" s="2" t="inlineStr">
        <is>
          <t>AI 활용 가능성</t>
        </is>
      </c>
      <c r="B19" s="3" t="inlineStr">
        <is>
          <t>상: 입력·출력이 명확해 자동화 가능 / 중: 초안·보조로 시간 단축 / 하: 사람 판단·실물 확인이 핵심</t>
        </is>
      </c>
    </row>
    <row r="20">
      <c r="A20" s="2" t="inlineStr">
        <is>
          <t>불편 업무 ★</t>
        </is>
      </c>
      <c r="B20" s="3" t="inlineStr">
        <is>
          <t>본인이 직접 '시간을 잡아먹는 일'로 지목한 업무</t>
        </is>
      </c>
    </row>
    <row r="21">
      <c r="A21" s="2" t="inlineStr"/>
      <c r="B21" s="3" t="inlineStr"/>
    </row>
    <row r="22">
      <c r="A22" s="4" t="inlineStr">
        <is>
          <t>범례</t>
        </is>
      </c>
      <c r="B22" s="5" t="inlineStr"/>
    </row>
    <row r="23">
      <c r="A23" s="6" t="inlineStr">
        <is>
          <t>노란 칸 · 파란 글자</t>
        </is>
      </c>
      <c r="B23" s="3" t="inlineStr">
        <is>
          <t>추정값(월 빈도, 회당 소요 시간)입니다. 실제 값으로 고치면 '월 소요(h)'와 요약분석이 자동으로 다시 계산됩니다</t>
        </is>
      </c>
    </row>
    <row r="24">
      <c r="A24" s="7" t="inlineStr">
        <is>
          <t>빨간 행</t>
        </is>
      </c>
      <c r="B24" s="3" t="inlineStr">
        <is>
          <t>불편 업무 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4" customWidth="1" min="2" max="2"/>
    <col width="13" customWidth="1" min="3" max="3"/>
    <col width="44" customWidth="1" min="4" max="4"/>
    <col width="15" customWidth="1" min="5" max="5"/>
    <col width="13" customWidth="1" min="6" max="6"/>
    <col width="10" customWidth="1" min="7" max="7"/>
    <col width="10" customWidth="1" min="8" max="8"/>
    <col width="10" customWidth="1" min="9" max="9"/>
    <col width="22" customWidth="1" min="10" max="10"/>
    <col width="18" customWidth="1" min="11" max="11"/>
    <col width="18" customWidth="1" min="12" max="12"/>
    <col width="13" customWidth="1" min="13" max="13"/>
    <col width="8" customWidth="1" min="14" max="14"/>
    <col width="8" customWidth="1" min="15" max="15"/>
    <col width="10" customWidth="1" min="16" max="16"/>
    <col width="46" customWidth="1" min="17" max="17"/>
  </cols>
  <sheetData>
    <row r="1" ht="32" customHeight="1">
      <c r="A1" s="8" t="inlineStr">
        <is>
          <t>ID</t>
        </is>
      </c>
      <c r="B1" s="8" t="inlineStr">
        <is>
          <t>대분류</t>
        </is>
      </c>
      <c r="C1" s="8" t="inlineStr">
        <is>
          <t>중분류</t>
        </is>
      </c>
      <c r="D1" s="8" t="inlineStr">
        <is>
          <t>세부 작업</t>
        </is>
      </c>
      <c r="E1" s="8" t="inlineStr">
        <is>
          <t>프로젝트 단계</t>
        </is>
      </c>
      <c r="F1" s="8" t="inlineStr">
        <is>
          <t>시간 단위</t>
        </is>
      </c>
      <c r="G1" s="8" t="inlineStr">
        <is>
          <t>월 빈도(회)</t>
        </is>
      </c>
      <c r="H1" s="8" t="inlineStr">
        <is>
          <t>회당 소요(h)</t>
        </is>
      </c>
      <c r="I1" s="8" t="inlineStr">
        <is>
          <t>월 소요(h)</t>
        </is>
      </c>
      <c r="J1" s="8" t="inlineStr">
        <is>
          <t>입력(받는 것)</t>
        </is>
      </c>
      <c r="K1" s="8" t="inlineStr">
        <is>
          <t>산출물</t>
        </is>
      </c>
      <c r="L1" s="8" t="inlineStr">
        <is>
          <t>도구</t>
        </is>
      </c>
      <c r="M1" s="8" t="inlineStr">
        <is>
          <t>협업 대상</t>
        </is>
      </c>
      <c r="N1" s="8" t="inlineStr">
        <is>
          <t>반복성</t>
        </is>
      </c>
      <c r="O1" s="8" t="inlineStr">
        <is>
          <t>불편 업무</t>
        </is>
      </c>
      <c r="P1" s="8" t="inlineStr">
        <is>
          <t>AI 활용 가능성</t>
        </is>
      </c>
      <c r="Q1" s="8" t="inlineStr">
        <is>
          <t>AI 활용 아이디어</t>
        </is>
      </c>
    </row>
    <row r="2">
      <c r="A2" s="9" t="inlineStr">
        <is>
          <t>A-01</t>
        </is>
      </c>
      <c r="B2" s="10" t="inlineStr">
        <is>
          <t>프로젝트 관리</t>
        </is>
      </c>
      <c r="C2" s="10" t="inlineStr">
        <is>
          <t>일정 관리</t>
        </is>
      </c>
      <c r="D2" s="10" t="inlineStr">
        <is>
          <t>킥오프 후 개발 단계별 일정을 팀 스케줄 공유표에 작성</t>
        </is>
      </c>
      <c r="E2" s="9" t="inlineStr">
        <is>
          <t>기획(러프·킥오프)</t>
        </is>
      </c>
      <c r="F2" s="9" t="inlineStr">
        <is>
          <t>프로젝트 단계별</t>
        </is>
      </c>
      <c r="G2" s="11" t="n">
        <v>0.25</v>
      </c>
      <c r="H2" s="12" t="n">
        <v>2</v>
      </c>
      <c r="I2" s="13">
        <f>G2*H2</f>
        <v/>
      </c>
      <c r="J2" s="10" t="inlineStr">
        <is>
          <t>기획서, 킥오프 결정사항</t>
        </is>
      </c>
      <c r="K2" s="10" t="inlineStr">
        <is>
          <t>팀 스케줄 공유표</t>
        </is>
      </c>
      <c r="L2" s="10" t="inlineStr">
        <is>
          <t>스프레드시트</t>
        </is>
      </c>
      <c r="M2" s="9" t="inlineStr">
        <is>
          <t>기획</t>
        </is>
      </c>
      <c r="N2" s="9" t="inlineStr">
        <is>
          <t>중</t>
        </is>
      </c>
      <c r="O2" s="9" t="inlineStr"/>
      <c r="P2" s="9" t="inlineStr">
        <is>
          <t>중</t>
        </is>
      </c>
      <c r="Q2" s="10" t="inlineStr">
        <is>
          <t>기획서 기반 작업 목록 → 일정 초안 자동 생성</t>
        </is>
      </c>
    </row>
    <row r="3">
      <c r="A3" s="9" t="inlineStr">
        <is>
          <t>A-02</t>
        </is>
      </c>
      <c r="B3" s="10" t="inlineStr">
        <is>
          <t>프로젝트 관리</t>
        </is>
      </c>
      <c r="C3" s="10" t="inlineStr">
        <is>
          <t>일정 관리</t>
        </is>
      </c>
      <c r="D3" s="10" t="inlineStr">
        <is>
          <t>개발자 업무 진행도(단계별 셀) 갱신</t>
        </is>
      </c>
      <c r="E3" s="9" t="inlineStr">
        <is>
          <t>상시</t>
        </is>
      </c>
      <c r="F3" s="9" t="inlineStr">
        <is>
          <t>주간</t>
        </is>
      </c>
      <c r="G3" s="11" t="n">
        <v>4</v>
      </c>
      <c r="H3" s="12" t="n">
        <v>0.5</v>
      </c>
      <c r="I3" s="13">
        <f>G3*H3</f>
        <v/>
      </c>
      <c r="J3" s="10" t="inlineStr">
        <is>
          <t>이번 주 작업 결과</t>
        </is>
      </c>
      <c r="K3" s="10" t="inlineStr">
        <is>
          <t>진행도 시트 갱신</t>
        </is>
      </c>
      <c r="L3" s="10" t="inlineStr">
        <is>
          <t>스프레드시트</t>
        </is>
      </c>
      <c r="M3" s="9" t="inlineStr">
        <is>
          <t>기획</t>
        </is>
      </c>
      <c r="N3" s="9" t="inlineStr">
        <is>
          <t>상</t>
        </is>
      </c>
      <c r="O3" s="9" t="inlineStr"/>
      <c r="P3" s="9" t="inlineStr">
        <is>
          <t>상</t>
        </is>
      </c>
      <c r="Q3" s="10" t="inlineStr">
        <is>
          <t>GitLab 커밋 기록으로 진행 상황 요약 → 시트 갱신 초안</t>
        </is>
      </c>
    </row>
    <row r="4">
      <c r="A4" s="9" t="inlineStr">
        <is>
          <t>A-03</t>
        </is>
      </c>
      <c r="B4" s="10" t="inlineStr">
        <is>
          <t>프로젝트 관리</t>
        </is>
      </c>
      <c r="C4" s="10" t="inlineStr">
        <is>
          <t>회의</t>
        </is>
      </c>
      <c r="D4" s="10" t="inlineStr">
        <is>
          <t>주간회의 준비 (지난주 한 일 / 이번 주 할 일 정리)</t>
        </is>
      </c>
      <c r="E4" s="9" t="inlineStr">
        <is>
          <t>상시</t>
        </is>
      </c>
      <c r="F4" s="9" t="inlineStr">
        <is>
          <t>주간</t>
        </is>
      </c>
      <c r="G4" s="11" t="n">
        <v>4</v>
      </c>
      <c r="H4" s="12" t="n">
        <v>0.5</v>
      </c>
      <c r="I4" s="13">
        <f>G4*H4</f>
        <v/>
      </c>
      <c r="J4" s="10" t="inlineStr">
        <is>
          <t>커밋 기록, Slack 대화</t>
        </is>
      </c>
      <c r="K4" s="10" t="inlineStr">
        <is>
          <t>회의 공유 내용</t>
        </is>
      </c>
      <c r="L4" s="10" t="inlineStr">
        <is>
          <t>Slack, GitLab</t>
        </is>
      </c>
      <c r="M4" s="9" t="inlineStr">
        <is>
          <t>팀 전체</t>
        </is>
      </c>
      <c r="N4" s="9" t="inlineStr">
        <is>
          <t>상</t>
        </is>
      </c>
      <c r="O4" s="9" t="inlineStr"/>
      <c r="P4" s="9" t="inlineStr">
        <is>
          <t>상</t>
        </is>
      </c>
      <c r="Q4" s="10" t="inlineStr">
        <is>
          <t>최근 7일 git log 요약으로 주간 보고 초안 작성</t>
        </is>
      </c>
    </row>
    <row r="5">
      <c r="A5" s="9" t="inlineStr">
        <is>
          <t>A-04</t>
        </is>
      </c>
      <c r="B5" s="10" t="inlineStr">
        <is>
          <t>프로젝트 관리</t>
        </is>
      </c>
      <c r="C5" s="10" t="inlineStr">
        <is>
          <t>회의</t>
        </is>
      </c>
      <c r="D5" s="10" t="inlineStr">
        <is>
          <t>주간회의 참석 (월요일)</t>
        </is>
      </c>
      <c r="E5" s="9" t="inlineStr">
        <is>
          <t>상시</t>
        </is>
      </c>
      <c r="F5" s="9" t="inlineStr">
        <is>
          <t>주간</t>
        </is>
      </c>
      <c r="G5" s="11" t="n">
        <v>4</v>
      </c>
      <c r="H5" s="12" t="n">
        <v>1</v>
      </c>
      <c r="I5" s="13">
        <f>G5*H5</f>
        <v/>
      </c>
      <c r="J5" s="10" t="inlineStr">
        <is>
          <t>회의 안건</t>
        </is>
      </c>
      <c r="K5" s="10" t="inlineStr">
        <is>
          <t>결정사항 메모</t>
        </is>
      </c>
      <c r="L5" s="10" t="inlineStr">
        <is>
          <t>-</t>
        </is>
      </c>
      <c r="M5" s="9" t="inlineStr">
        <is>
          <t>팀 전체</t>
        </is>
      </c>
      <c r="N5" s="9" t="inlineStr">
        <is>
          <t>상</t>
        </is>
      </c>
      <c r="O5" s="9" t="inlineStr"/>
      <c r="P5" s="9" t="inlineStr">
        <is>
          <t>하</t>
        </is>
      </c>
      <c r="Q5" s="10" t="inlineStr">
        <is>
          <t>회의 메모 → 할 일 목록으로 정리 (회의 참석 자체는 대체 불가)</t>
        </is>
      </c>
    </row>
    <row r="6">
      <c r="A6" s="9" t="inlineStr">
        <is>
          <t>A-05</t>
        </is>
      </c>
      <c r="B6" s="10" t="inlineStr">
        <is>
          <t>프로젝트 관리</t>
        </is>
      </c>
      <c r="C6" s="10" t="inlineStr">
        <is>
          <t>회의</t>
        </is>
      </c>
      <c r="D6" s="10" t="inlineStr">
        <is>
          <t>러프 전달 회의: 기획 러프 검토, 구현 가능성·리스크 의견</t>
        </is>
      </c>
      <c r="E6" s="9" t="inlineStr">
        <is>
          <t>기획(러프·킥오프)</t>
        </is>
      </c>
      <c r="F6" s="9" t="inlineStr">
        <is>
          <t>프로젝트 단계별</t>
        </is>
      </c>
      <c r="G6" s="11" t="n">
        <v>0.25</v>
      </c>
      <c r="H6" s="12" t="n">
        <v>1.5</v>
      </c>
      <c r="I6" s="13">
        <f>G6*H6</f>
        <v/>
      </c>
      <c r="J6" s="10" t="inlineStr">
        <is>
          <t>기획 러프</t>
        </is>
      </c>
      <c r="K6" s="10" t="inlineStr">
        <is>
          <t>구현 가능성 의견</t>
        </is>
      </c>
      <c r="L6" s="10" t="inlineStr">
        <is>
          <t>-</t>
        </is>
      </c>
      <c r="M6" s="9" t="inlineStr">
        <is>
          <t>기획, 사운드</t>
        </is>
      </c>
      <c r="N6" s="9" t="inlineStr">
        <is>
          <t>하</t>
        </is>
      </c>
      <c r="O6" s="9" t="inlineStr"/>
      <c r="P6" s="9" t="inlineStr">
        <is>
          <t>중</t>
        </is>
      </c>
      <c r="Q6" s="10" t="inlineStr">
        <is>
          <t>러프 문서를 읽고 기술 리스크·필요 리소스 체크리스트 초안</t>
        </is>
      </c>
    </row>
    <row r="7">
      <c r="A7" s="9" t="inlineStr">
        <is>
          <t>A-06</t>
        </is>
      </c>
      <c r="B7" s="10" t="inlineStr">
        <is>
          <t>프로젝트 관리</t>
        </is>
      </c>
      <c r="C7" s="10" t="inlineStr">
        <is>
          <t>회의</t>
        </is>
      </c>
      <c r="D7" s="10" t="inlineStr">
        <is>
          <t>킥오프: 범위·일정 확정</t>
        </is>
      </c>
      <c r="E7" s="9" t="inlineStr">
        <is>
          <t>기획(러프·킥오프)</t>
        </is>
      </c>
      <c r="F7" s="9" t="inlineStr">
        <is>
          <t>프로젝트 단계별</t>
        </is>
      </c>
      <c r="G7" s="11" t="n">
        <v>0.25</v>
      </c>
      <c r="H7" s="12" t="n">
        <v>1.5</v>
      </c>
      <c r="I7" s="13">
        <f>G7*H7</f>
        <v/>
      </c>
      <c r="J7" s="10" t="inlineStr">
        <is>
          <t>확정 기획서</t>
        </is>
      </c>
      <c r="K7" s="10" t="inlineStr">
        <is>
          <t>확정 범위·일정</t>
        </is>
      </c>
      <c r="L7" s="10" t="inlineStr">
        <is>
          <t>-</t>
        </is>
      </c>
      <c r="M7" s="9" t="inlineStr">
        <is>
          <t>기획, 사운드</t>
        </is>
      </c>
      <c r="N7" s="9" t="inlineStr">
        <is>
          <t>하</t>
        </is>
      </c>
      <c r="O7" s="9" t="inlineStr"/>
      <c r="P7" s="9" t="inlineStr">
        <is>
          <t>하</t>
        </is>
      </c>
      <c r="Q7" s="10" t="inlineStr">
        <is>
          <t>-</t>
        </is>
      </c>
    </row>
    <row r="8">
      <c r="A8" s="9" t="inlineStr">
        <is>
          <t>A-07</t>
        </is>
      </c>
      <c r="B8" s="10" t="inlineStr">
        <is>
          <t>프로젝트 관리</t>
        </is>
      </c>
      <c r="C8" s="10" t="inlineStr">
        <is>
          <t>기획 분석</t>
        </is>
      </c>
      <c r="D8" s="10" t="inlineStr">
        <is>
          <t>기획서를 구현 단위 작업 목록으로 분해</t>
        </is>
      </c>
      <c r="E8" s="9" t="inlineStr">
        <is>
          <t>기획(러프·킥오프)</t>
        </is>
      </c>
      <c r="F8" s="9" t="inlineStr">
        <is>
          <t>프로젝트 단계별</t>
        </is>
      </c>
      <c r="G8" s="11" t="n">
        <v>0.25</v>
      </c>
      <c r="H8" s="12" t="n">
        <v>4</v>
      </c>
      <c r="I8" s="13">
        <f>G8*H8</f>
        <v/>
      </c>
      <c r="J8" s="10" t="inlineStr">
        <is>
          <t>기획서</t>
        </is>
      </c>
      <c r="K8" s="10" t="inlineStr">
        <is>
          <t>구현 작업 목록</t>
        </is>
      </c>
      <c r="L8" s="10" t="inlineStr">
        <is>
          <t>스프레드시트</t>
        </is>
      </c>
      <c r="M8" s="9" t="inlineStr">
        <is>
          <t>기획</t>
        </is>
      </c>
      <c r="N8" s="9" t="inlineStr">
        <is>
          <t>중</t>
        </is>
      </c>
      <c r="O8" s="9" t="inlineStr"/>
      <c r="P8" s="9" t="inlineStr">
        <is>
          <t>상</t>
        </is>
      </c>
      <c r="Q8" s="10" t="inlineStr">
        <is>
          <t>기획서 → 기능/화면/연출/사운드 단위 작업 리스트 자동 분해</t>
        </is>
      </c>
    </row>
    <row r="9">
      <c r="A9" s="9" t="inlineStr">
        <is>
          <t>B-01</t>
        </is>
      </c>
      <c r="B9" s="10" t="inlineStr">
        <is>
          <t>프로젝트 셋업</t>
        </is>
      </c>
      <c r="C9" s="10" t="inlineStr">
        <is>
          <t>신규 프로젝트</t>
        </is>
      </c>
      <c r="D9" s="10" t="inlineStr">
        <is>
          <t>Unity 프로젝트 생성, 버전·플랫폼·Player Settings(번들ID 등) 설정</t>
        </is>
      </c>
      <c r="E9" s="9" t="inlineStr">
        <is>
          <t>셋업</t>
        </is>
      </c>
      <c r="F9" s="9" t="inlineStr">
        <is>
          <t>비정기</t>
        </is>
      </c>
      <c r="G9" s="11" t="n">
        <v>0.25</v>
      </c>
      <c r="H9" s="12" t="n">
        <v>3</v>
      </c>
      <c r="I9" s="13">
        <f>G9*H9</f>
        <v/>
      </c>
      <c r="J9" s="10" t="inlineStr">
        <is>
          <t>프로젝트 정보</t>
        </is>
      </c>
      <c r="K9" s="10" t="inlineStr">
        <is>
          <t>초기 프로젝트</t>
        </is>
      </c>
      <c r="L9" s="10" t="inlineStr">
        <is>
          <t>Unity</t>
        </is>
      </c>
      <c r="M9" s="9" t="inlineStr">
        <is>
          <t>-</t>
        </is>
      </c>
      <c r="N9" s="9" t="inlineStr">
        <is>
          <t>중</t>
        </is>
      </c>
      <c r="O9" s="9" t="inlineStr"/>
      <c r="P9" s="9" t="inlineStr">
        <is>
          <t>상</t>
        </is>
      </c>
      <c r="Q9" s="10" t="inlineStr">
        <is>
          <t>Editor 스크립트로 공통 설정 일괄 적용 + 체크리스트</t>
        </is>
      </c>
    </row>
    <row r="10">
      <c r="A10" s="9" t="inlineStr">
        <is>
          <t>B-02</t>
        </is>
      </c>
      <c r="B10" s="10" t="inlineStr">
        <is>
          <t>프로젝트 셋업</t>
        </is>
      </c>
      <c r="C10" s="10" t="inlineStr">
        <is>
          <t>신규 프로젝트</t>
        </is>
      </c>
      <c r="D10" s="10" t="inlineStr">
        <is>
          <t>GitLab 저장소 생성, .gitignore·LFS·브랜치 규칙 세팅</t>
        </is>
      </c>
      <c r="E10" s="9" t="inlineStr">
        <is>
          <t>셋업</t>
        </is>
      </c>
      <c r="F10" s="9" t="inlineStr">
        <is>
          <t>비정기</t>
        </is>
      </c>
      <c r="G10" s="11" t="n">
        <v>0.25</v>
      </c>
      <c r="H10" s="12" t="n">
        <v>1</v>
      </c>
      <c r="I10" s="13">
        <f>G10*H10</f>
        <v/>
      </c>
      <c r="J10" s="10" t="inlineStr">
        <is>
          <t>-</t>
        </is>
      </c>
      <c r="K10" s="10" t="inlineStr">
        <is>
          <t>원격 저장소</t>
        </is>
      </c>
      <c r="L10" s="10" t="inlineStr">
        <is>
          <t>GitLab</t>
        </is>
      </c>
      <c r="M10" s="9" t="inlineStr">
        <is>
          <t>-</t>
        </is>
      </c>
      <c r="N10" s="9" t="inlineStr">
        <is>
          <t>중</t>
        </is>
      </c>
      <c r="O10" s="9" t="inlineStr"/>
      <c r="P10" s="9" t="inlineStr">
        <is>
          <t>상</t>
        </is>
      </c>
      <c r="Q10" s="10" t="inlineStr">
        <is>
          <t>저장소 초기화 스크립트화</t>
        </is>
      </c>
    </row>
    <row r="11">
      <c r="A11" s="9" t="inlineStr">
        <is>
          <t>B-03</t>
        </is>
      </c>
      <c r="B11" s="10" t="inlineStr">
        <is>
          <t>프로젝트 셋업</t>
        </is>
      </c>
      <c r="C11" s="10" t="inlineStr">
        <is>
          <t>신규 프로젝트</t>
        </is>
      </c>
      <c r="D11" s="10" t="inlineStr">
        <is>
          <t>공통 모듈·SDK(광고/결제/분석 등) import 및 설정</t>
        </is>
      </c>
      <c r="E11" s="9" t="inlineStr">
        <is>
          <t>셋업</t>
        </is>
      </c>
      <c r="F11" s="9" t="inlineStr">
        <is>
          <t>비정기</t>
        </is>
      </c>
      <c r="G11" s="11" t="n">
        <v>0.25</v>
      </c>
      <c r="H11" s="12" t="n">
        <v>4</v>
      </c>
      <c r="I11" s="13">
        <f>G11*H11</f>
        <v/>
      </c>
      <c r="J11" s="10" t="inlineStr">
        <is>
          <t>공통 패키지</t>
        </is>
      </c>
      <c r="K11" s="10" t="inlineStr">
        <is>
          <t>SDK 연동 완료</t>
        </is>
      </c>
      <c r="L11" s="10" t="inlineStr">
        <is>
          <t>Unity</t>
        </is>
      </c>
      <c r="M11" s="9" t="inlineStr">
        <is>
          <t>-</t>
        </is>
      </c>
      <c r="N11" s="9" t="inlineStr">
        <is>
          <t>중</t>
        </is>
      </c>
      <c r="O11" s="9" t="inlineStr"/>
      <c r="P11" s="9" t="inlineStr">
        <is>
          <t>중</t>
        </is>
      </c>
      <c r="Q11" s="10" t="inlineStr">
        <is>
          <t>SDK 버전·설정 누락 점검 체크리스트</t>
        </is>
      </c>
    </row>
    <row r="12">
      <c r="A12" s="9" t="inlineStr">
        <is>
          <t>B-04</t>
        </is>
      </c>
      <c r="B12" s="10" t="inlineStr">
        <is>
          <t>프로젝트 셋업</t>
        </is>
      </c>
      <c r="C12" s="10" t="inlineStr">
        <is>
          <t>신규 프로젝트</t>
        </is>
      </c>
      <c r="D12" s="10" t="inlineStr">
        <is>
          <t>폴더 구조·기본 씬·공통 프리팹 템플릿 세팅</t>
        </is>
      </c>
      <c r="E12" s="9" t="inlineStr">
        <is>
          <t>셋업</t>
        </is>
      </c>
      <c r="F12" s="9" t="inlineStr">
        <is>
          <t>비정기</t>
        </is>
      </c>
      <c r="G12" s="11" t="n">
        <v>0.25</v>
      </c>
      <c r="H12" s="12" t="n">
        <v>2</v>
      </c>
      <c r="I12" s="13">
        <f>G12*H12</f>
        <v/>
      </c>
      <c r="J12" s="10" t="inlineStr">
        <is>
          <t>사내 템플릿</t>
        </is>
      </c>
      <c r="K12" s="10" t="inlineStr">
        <is>
          <t>기본 구조</t>
        </is>
      </c>
      <c r="L12" s="10" t="inlineStr">
        <is>
          <t>Unity</t>
        </is>
      </c>
      <c r="M12" s="9" t="inlineStr">
        <is>
          <t>-</t>
        </is>
      </c>
      <c r="N12" s="9" t="inlineStr">
        <is>
          <t>중</t>
        </is>
      </c>
      <c r="O12" s="9" t="inlineStr"/>
      <c r="P12" s="9" t="inlineStr">
        <is>
          <t>상</t>
        </is>
      </c>
      <c r="Q12" s="10" t="inlineStr">
        <is>
          <t>템플릿 프로젝트 복제 + 이름 일괄 변경 자동화</t>
        </is>
      </c>
    </row>
    <row r="13">
      <c r="A13" s="9" t="inlineStr">
        <is>
          <t>C-01</t>
        </is>
      </c>
      <c r="B13" s="10" t="inlineStr">
        <is>
          <t>개발 구현</t>
        </is>
      </c>
      <c r="C13" s="10" t="inlineStr">
        <is>
          <t>기능 개발</t>
        </is>
      </c>
      <c r="D13" s="10" t="inlineStr">
        <is>
          <t>게임 로직·기능 스크립트 작성</t>
        </is>
      </c>
      <c r="E13" s="9" t="inlineStr">
        <is>
          <t>개발 구현</t>
        </is>
      </c>
      <c r="F13" s="9" t="inlineStr">
        <is>
          <t>일간</t>
        </is>
      </c>
      <c r="G13" s="11" t="n">
        <v>20</v>
      </c>
      <c r="H13" s="12" t="n">
        <v>2</v>
      </c>
      <c r="I13" s="13">
        <f>G13*H13</f>
        <v/>
      </c>
      <c r="J13" s="10" t="inlineStr">
        <is>
          <t>기획서, 작업 목록</t>
        </is>
      </c>
      <c r="K13" s="10" t="inlineStr">
        <is>
          <t>기능 코드</t>
        </is>
      </c>
      <c r="L13" s="10" t="inlineStr">
        <is>
          <t>Unity, GitLab</t>
        </is>
      </c>
      <c r="M13" s="9" t="inlineStr">
        <is>
          <t>기획</t>
        </is>
      </c>
      <c r="N13" s="9" t="inlineStr">
        <is>
          <t>중</t>
        </is>
      </c>
      <c r="O13" s="9" t="inlineStr"/>
      <c r="P13" s="9" t="inlineStr">
        <is>
          <t>중</t>
        </is>
      </c>
      <c r="Q13" s="10" t="inlineStr">
        <is>
          <t>Claude Code로 반복 코드·보일러플레이트 작성, 버그 원인 탐색</t>
        </is>
      </c>
    </row>
    <row r="14">
      <c r="A14" s="9" t="inlineStr">
        <is>
          <t>C-02</t>
        </is>
      </c>
      <c r="B14" s="10" t="inlineStr">
        <is>
          <t>개발 구현</t>
        </is>
      </c>
      <c r="C14" s="10" t="inlineStr">
        <is>
          <t>컨텐츠 제작</t>
        </is>
      </c>
      <c r="D14" s="10" t="inlineStr">
        <is>
          <t>씬·UI 배치, 아트 리소스 import·적용</t>
        </is>
      </c>
      <c r="E14" s="9" t="inlineStr">
        <is>
          <t>개발 구현</t>
        </is>
      </c>
      <c r="F14" s="9" t="inlineStr">
        <is>
          <t>일간</t>
        </is>
      </c>
      <c r="G14" s="11" t="n">
        <v>10</v>
      </c>
      <c r="H14" s="12" t="n">
        <v>1.5</v>
      </c>
      <c r="I14" s="13">
        <f>G14*H14</f>
        <v/>
      </c>
      <c r="J14" s="10" t="inlineStr">
        <is>
          <t>아트 리소스</t>
        </is>
      </c>
      <c r="K14" s="10" t="inlineStr">
        <is>
          <t>컨텐츠 씬/UI</t>
        </is>
      </c>
      <c r="L14" s="10" t="inlineStr">
        <is>
          <t>Unity</t>
        </is>
      </c>
      <c r="M14" s="9" t="inlineStr">
        <is>
          <t>기획</t>
        </is>
      </c>
      <c r="N14" s="9" t="inlineStr">
        <is>
          <t>상</t>
        </is>
      </c>
      <c r="O14" s="9" t="inlineStr"/>
      <c r="P14" s="9" t="inlineStr">
        <is>
          <t>중</t>
        </is>
      </c>
      <c r="Q14" s="10" t="inlineStr">
        <is>
          <t>리소스 import 설정(압축·스프라이트) 일괄 적용 스크립트</t>
        </is>
      </c>
    </row>
    <row r="15">
      <c r="A15" s="9" t="inlineStr">
        <is>
          <t>C-03</t>
        </is>
      </c>
      <c r="B15" s="10" t="inlineStr">
        <is>
          <t>개발 구현</t>
        </is>
      </c>
      <c r="C15" s="10" t="inlineStr">
        <is>
          <t>연출</t>
        </is>
      </c>
      <c r="D15" s="10" t="inlineStr">
        <is>
          <t>애니메이션·트윈 등 연출 구현</t>
        </is>
      </c>
      <c r="E15" s="9" t="inlineStr">
        <is>
          <t>개발 구현</t>
        </is>
      </c>
      <c r="F15" s="9" t="inlineStr">
        <is>
          <t>일간</t>
        </is>
      </c>
      <c r="G15" s="11" t="n">
        <v>8</v>
      </c>
      <c r="H15" s="12" t="n">
        <v>1.5</v>
      </c>
      <c r="I15" s="13">
        <f>G15*H15</f>
        <v/>
      </c>
      <c r="J15" s="10" t="inlineStr">
        <is>
          <t>연출 기획</t>
        </is>
      </c>
      <c r="K15" s="10" t="inlineStr">
        <is>
          <t>연출 적용</t>
        </is>
      </c>
      <c r="L15" s="10" t="inlineStr">
        <is>
          <t>Unity</t>
        </is>
      </c>
      <c r="M15" s="9" t="inlineStr">
        <is>
          <t>기획</t>
        </is>
      </c>
      <c r="N15" s="9" t="inlineStr">
        <is>
          <t>중</t>
        </is>
      </c>
      <c r="O15" s="9" t="inlineStr"/>
      <c r="P15" s="9" t="inlineStr">
        <is>
          <t>하</t>
        </is>
      </c>
      <c r="Q15" s="10" t="inlineStr">
        <is>
          <t>연출 수치 조정용 툴 제작 보조</t>
        </is>
      </c>
    </row>
    <row r="16">
      <c r="A16" s="9" t="inlineStr">
        <is>
          <t>C-04</t>
        </is>
      </c>
      <c r="B16" s="10" t="inlineStr">
        <is>
          <t>개발 구현</t>
        </is>
      </c>
      <c r="C16" s="10" t="inlineStr">
        <is>
          <t>연출</t>
        </is>
      </c>
      <c r="D16" s="10" t="inlineStr">
        <is>
          <t>파티클 이펙트 제작·적용</t>
        </is>
      </c>
      <c r="E16" s="9" t="inlineStr">
        <is>
          <t>개발 구현</t>
        </is>
      </c>
      <c r="F16" s="9" t="inlineStr">
        <is>
          <t>일간</t>
        </is>
      </c>
      <c r="G16" s="11" t="n">
        <v>4</v>
      </c>
      <c r="H16" s="12" t="n">
        <v>2</v>
      </c>
      <c r="I16" s="13">
        <f>G16*H16</f>
        <v/>
      </c>
      <c r="J16" s="10" t="inlineStr">
        <is>
          <t>연출 기획</t>
        </is>
      </c>
      <c r="K16" s="10" t="inlineStr">
        <is>
          <t>파티클</t>
        </is>
      </c>
      <c r="L16" s="10" t="inlineStr">
        <is>
          <t>Unity</t>
        </is>
      </c>
      <c r="M16" s="9" t="inlineStr">
        <is>
          <t>기획</t>
        </is>
      </c>
      <c r="N16" s="9" t="inlineStr">
        <is>
          <t>중</t>
        </is>
      </c>
      <c r="O16" s="9" t="inlineStr"/>
      <c r="P16" s="9" t="inlineStr">
        <is>
          <t>하</t>
        </is>
      </c>
      <c r="Q16" s="10" t="inlineStr">
        <is>
          <t>-</t>
        </is>
      </c>
    </row>
    <row r="17">
      <c r="A17" s="9" t="inlineStr">
        <is>
          <t>C-05</t>
        </is>
      </c>
      <c r="B17" s="10" t="inlineStr">
        <is>
          <t>개발 구현</t>
        </is>
      </c>
      <c r="C17" s="10" t="inlineStr">
        <is>
          <t>밸런싱</t>
        </is>
      </c>
      <c r="D17" s="10" t="inlineStr">
        <is>
          <t>난이도·수치 초안 세팅 (데이터 테이블)</t>
        </is>
      </c>
      <c r="E17" s="9" t="inlineStr">
        <is>
          <t>개발 구현</t>
        </is>
      </c>
      <c r="F17" s="9" t="inlineStr">
        <is>
          <t>프로젝트 단계별</t>
        </is>
      </c>
      <c r="G17" s="11" t="n">
        <v>2</v>
      </c>
      <c r="H17" s="12" t="n">
        <v>2</v>
      </c>
      <c r="I17" s="13">
        <f>G17*H17</f>
        <v/>
      </c>
      <c r="J17" s="10" t="inlineStr">
        <is>
          <t>기획 수치</t>
        </is>
      </c>
      <c r="K17" s="10" t="inlineStr">
        <is>
          <t>밸런싱 데이터</t>
        </is>
      </c>
      <c r="L17" s="10" t="inlineStr">
        <is>
          <t>Unity, 스프레드시트</t>
        </is>
      </c>
      <c r="M17" s="9" t="inlineStr">
        <is>
          <t>기획</t>
        </is>
      </c>
      <c r="N17" s="9" t="inlineStr">
        <is>
          <t>중</t>
        </is>
      </c>
      <c r="O17" s="9" t="inlineStr"/>
      <c r="P17" s="9" t="inlineStr">
        <is>
          <t>중</t>
        </is>
      </c>
      <c r="Q17" s="10" t="inlineStr">
        <is>
          <t>시트 → 게임 데이터 변환 자동화, 수치 이상값 검사</t>
        </is>
      </c>
    </row>
    <row r="18">
      <c r="A18" s="9" t="inlineStr">
        <is>
          <t>C-06</t>
        </is>
      </c>
      <c r="B18" s="10" t="inlineStr">
        <is>
          <t>개발 구현</t>
        </is>
      </c>
      <c r="C18" s="10" t="inlineStr">
        <is>
          <t>최적화</t>
        </is>
      </c>
      <c r="D18" s="10" t="inlineStr">
        <is>
          <t>프로파일링, 드로우콜·메모리·로딩 개선</t>
        </is>
      </c>
      <c r="E18" s="9" t="inlineStr">
        <is>
          <t>개발 구현</t>
        </is>
      </c>
      <c r="F18" s="9" t="inlineStr">
        <is>
          <t>비정기</t>
        </is>
      </c>
      <c r="G18" s="11" t="n">
        <v>2</v>
      </c>
      <c r="H18" s="12" t="n">
        <v>3</v>
      </c>
      <c r="I18" s="13">
        <f>G18*H18</f>
        <v/>
      </c>
      <c r="J18" s="10" t="inlineStr">
        <is>
          <t>Profiler 데이터</t>
        </is>
      </c>
      <c r="K18" s="10" t="inlineStr">
        <is>
          <t>최적화 결과</t>
        </is>
      </c>
      <c r="L18" s="10" t="inlineStr">
        <is>
          <t>Unity Profiler</t>
        </is>
      </c>
      <c r="M18" s="9" t="inlineStr">
        <is>
          <t>-</t>
        </is>
      </c>
      <c r="N18" s="9" t="inlineStr">
        <is>
          <t>하</t>
        </is>
      </c>
      <c r="O18" s="9" t="inlineStr"/>
      <c r="P18" s="9" t="inlineStr">
        <is>
          <t>중</t>
        </is>
      </c>
      <c r="Q18" s="10" t="inlineStr">
        <is>
          <t>Profiler 결과·코드 분석으로 개선 포인트 제안</t>
        </is>
      </c>
    </row>
    <row r="19">
      <c r="A19" s="9" t="inlineStr">
        <is>
          <t>D-01</t>
        </is>
      </c>
      <c r="B19" s="10" t="inlineStr">
        <is>
          <t>피드백·QA</t>
        </is>
      </c>
      <c r="C19" s="10" t="inlineStr">
        <is>
          <t>피드백 수집</t>
        </is>
      </c>
      <c r="D19" s="10" t="inlineStr">
        <is>
          <t>Slack·시트로 들어온 피드백 확인 및 정리</t>
        </is>
      </c>
      <c r="E19" s="9" t="inlineStr">
        <is>
          <t>QA</t>
        </is>
      </c>
      <c r="F19" s="9" t="inlineStr">
        <is>
          <t>일간</t>
        </is>
      </c>
      <c r="G19" s="11" t="n">
        <v>15</v>
      </c>
      <c r="H19" s="12" t="n">
        <v>0.5</v>
      </c>
      <c r="I19" s="13">
        <f>G19*H19</f>
        <v/>
      </c>
      <c r="J19" s="10" t="inlineStr">
        <is>
          <t>Slack 메시지, 피드백 시트</t>
        </is>
      </c>
      <c r="K19" s="10" t="inlineStr">
        <is>
          <t>정리된 피드백 목록</t>
        </is>
      </c>
      <c r="L19" s="10" t="inlineStr">
        <is>
          <t>Slack, 스프레드시트</t>
        </is>
      </c>
      <c r="M19" s="9" t="inlineStr">
        <is>
          <t>기획</t>
        </is>
      </c>
      <c r="N19" s="9" t="inlineStr">
        <is>
          <t>상</t>
        </is>
      </c>
      <c r="O19" s="9" t="inlineStr"/>
      <c r="P19" s="9" t="inlineStr">
        <is>
          <t>상</t>
        </is>
      </c>
      <c r="Q19" s="10" t="inlineStr">
        <is>
          <t>흩어진 피드백 → 항목별 표로 정리, 중복 제거</t>
        </is>
      </c>
    </row>
    <row r="20">
      <c r="A20" s="9" t="inlineStr">
        <is>
          <t>D-02</t>
        </is>
      </c>
      <c r="B20" s="10" t="inlineStr">
        <is>
          <t>피드백·QA</t>
        </is>
      </c>
      <c r="C20" s="10" t="inlineStr">
        <is>
          <t>피드백 적용</t>
        </is>
      </c>
      <c r="D20" s="10" t="inlineStr">
        <is>
          <t>피드백 수정 작업</t>
        </is>
      </c>
      <c r="E20" s="9" t="inlineStr">
        <is>
          <t>QA</t>
        </is>
      </c>
      <c r="F20" s="9" t="inlineStr">
        <is>
          <t>일간</t>
        </is>
      </c>
      <c r="G20" s="11" t="n">
        <v>15</v>
      </c>
      <c r="H20" s="12" t="n">
        <v>1</v>
      </c>
      <c r="I20" s="13">
        <f>G20*H20</f>
        <v/>
      </c>
      <c r="J20" s="10" t="inlineStr">
        <is>
          <t>피드백 항목</t>
        </is>
      </c>
      <c r="K20" s="10" t="inlineStr">
        <is>
          <t>수정 코드</t>
        </is>
      </c>
      <c r="L20" s="10" t="inlineStr">
        <is>
          <t>Unity, GitLab</t>
        </is>
      </c>
      <c r="M20" s="9" t="inlineStr">
        <is>
          <t>기획</t>
        </is>
      </c>
      <c r="N20" s="9" t="inlineStr">
        <is>
          <t>상</t>
        </is>
      </c>
      <c r="O20" s="9" t="inlineStr"/>
      <c r="P20" s="9" t="inlineStr">
        <is>
          <t>중</t>
        </is>
      </c>
      <c r="Q20" s="10" t="inlineStr">
        <is>
          <t>피드백 문장 → 관련 스크립트 위치 찾기·수정안 제시</t>
        </is>
      </c>
    </row>
    <row r="21">
      <c r="A21" s="14" t="inlineStr">
        <is>
          <t>D-03</t>
        </is>
      </c>
      <c r="B21" s="15" t="inlineStr">
        <is>
          <t>피드백·QA</t>
        </is>
      </c>
      <c r="C21" s="15" t="inlineStr">
        <is>
          <t>피드백 적용 확인</t>
        </is>
      </c>
      <c r="D21" s="15" t="inlineStr">
        <is>
          <t>피드백 항목별 반영 여부 확인 및 시트 상태 갱신</t>
        </is>
      </c>
      <c r="E21" s="14" t="inlineStr">
        <is>
          <t>QA</t>
        </is>
      </c>
      <c r="F21" s="14" t="inlineStr">
        <is>
          <t>일간</t>
        </is>
      </c>
      <c r="G21" s="11" t="n">
        <v>15</v>
      </c>
      <c r="H21" s="12" t="n">
        <v>0.5</v>
      </c>
      <c r="I21" s="16">
        <f>G21*H21</f>
        <v/>
      </c>
      <c r="J21" s="15" t="inlineStr">
        <is>
          <t>피드백 시트, 커밋 기록</t>
        </is>
      </c>
      <c r="K21" s="15" t="inlineStr">
        <is>
          <t>상태 갱신된 시트</t>
        </is>
      </c>
      <c r="L21" s="15" t="inlineStr">
        <is>
          <t>스프레드시트, GitLab</t>
        </is>
      </c>
      <c r="M21" s="14" t="inlineStr">
        <is>
          <t>기획</t>
        </is>
      </c>
      <c r="N21" s="14" t="inlineStr">
        <is>
          <t>상</t>
        </is>
      </c>
      <c r="O21" s="14" t="inlineStr">
        <is>
          <t>★</t>
        </is>
      </c>
      <c r="P21" s="14" t="inlineStr">
        <is>
          <t>상</t>
        </is>
      </c>
      <c r="Q21" s="15" t="inlineStr">
        <is>
          <t>피드백 ID ↔ 커밋 매칭으로 미반영 목록 자동 추출</t>
        </is>
      </c>
    </row>
    <row r="22">
      <c r="A22" s="9" t="inlineStr">
        <is>
          <t>D-04</t>
        </is>
      </c>
      <c r="B22" s="10" t="inlineStr">
        <is>
          <t>피드백·QA</t>
        </is>
      </c>
      <c r="C22" s="10" t="inlineStr">
        <is>
          <t>QA 대응</t>
        </is>
      </c>
      <c r="D22" s="10" t="inlineStr">
        <is>
          <t>기획QA 이슈 수정</t>
        </is>
      </c>
      <c r="E22" s="9" t="inlineStr">
        <is>
          <t>QA</t>
        </is>
      </c>
      <c r="F22" s="9" t="inlineStr">
        <is>
          <t>프로젝트 단계별</t>
        </is>
      </c>
      <c r="G22" s="11" t="n">
        <v>0.25</v>
      </c>
      <c r="H22" s="12" t="n">
        <v>8</v>
      </c>
      <c r="I22" s="13">
        <f>G22*H22</f>
        <v/>
      </c>
      <c r="J22" s="10" t="inlineStr">
        <is>
          <t>기획QA 리스트</t>
        </is>
      </c>
      <c r="K22" s="10" t="inlineStr">
        <is>
          <t>수정 빌드</t>
        </is>
      </c>
      <c r="L22" s="10" t="inlineStr">
        <is>
          <t>Unity</t>
        </is>
      </c>
      <c r="M22" s="9" t="inlineStr">
        <is>
          <t>기획</t>
        </is>
      </c>
      <c r="N22" s="9" t="inlineStr">
        <is>
          <t>중</t>
        </is>
      </c>
      <c r="O22" s="9" t="inlineStr"/>
      <c r="P22" s="9" t="inlineStr">
        <is>
          <t>중</t>
        </is>
      </c>
      <c r="Q22" s="10" t="inlineStr">
        <is>
          <t>이슈 목록 우선순위 분류, 원인 코드 탐색</t>
        </is>
      </c>
    </row>
    <row r="23">
      <c r="A23" s="9" t="inlineStr">
        <is>
          <t>D-05</t>
        </is>
      </c>
      <c r="B23" s="10" t="inlineStr">
        <is>
          <t>피드백·QA</t>
        </is>
      </c>
      <c r="C23" s="10" t="inlineStr">
        <is>
          <t>QA 대응</t>
        </is>
      </c>
      <c r="D23" s="10" t="inlineStr">
        <is>
          <t>컨썸QA 이슈 수정</t>
        </is>
      </c>
      <c r="E23" s="9" t="inlineStr">
        <is>
          <t>QA</t>
        </is>
      </c>
      <c r="F23" s="9" t="inlineStr">
        <is>
          <t>프로젝트 단계별</t>
        </is>
      </c>
      <c r="G23" s="11" t="n">
        <v>0.25</v>
      </c>
      <c r="H23" s="12" t="n">
        <v>8</v>
      </c>
      <c r="I23" s="13">
        <f>G23*H23</f>
        <v/>
      </c>
      <c r="J23" s="10" t="inlineStr">
        <is>
          <t>컨썸QA 리스트</t>
        </is>
      </c>
      <c r="K23" s="10" t="inlineStr">
        <is>
          <t>수정 빌드</t>
        </is>
      </c>
      <c r="L23" s="10" t="inlineStr">
        <is>
          <t>Unity</t>
        </is>
      </c>
      <c r="M23" s="9" t="inlineStr">
        <is>
          <t>기획</t>
        </is>
      </c>
      <c r="N23" s="9" t="inlineStr">
        <is>
          <t>중</t>
        </is>
      </c>
      <c r="O23" s="9" t="inlineStr"/>
      <c r="P23" s="9" t="inlineStr">
        <is>
          <t>중</t>
        </is>
      </c>
      <c r="Q23" s="10" t="inlineStr">
        <is>
          <t>이슈 목록 우선순위 분류, 원인 코드 탐색</t>
        </is>
      </c>
    </row>
    <row r="24">
      <c r="A24" s="9" t="inlineStr">
        <is>
          <t>D-06</t>
        </is>
      </c>
      <c r="B24" s="10" t="inlineStr">
        <is>
          <t>피드백·QA</t>
        </is>
      </c>
      <c r="C24" s="10" t="inlineStr">
        <is>
          <t>QA 대응</t>
        </is>
      </c>
      <c r="D24" s="10" t="inlineStr">
        <is>
          <t>기능QA 버그 수정</t>
        </is>
      </c>
      <c r="E24" s="9" t="inlineStr">
        <is>
          <t>QA</t>
        </is>
      </c>
      <c r="F24" s="9" t="inlineStr">
        <is>
          <t>프로젝트 단계별</t>
        </is>
      </c>
      <c r="G24" s="11" t="n">
        <v>0.25</v>
      </c>
      <c r="H24" s="12" t="n">
        <v>12</v>
      </c>
      <c r="I24" s="13">
        <f>G24*H24</f>
        <v/>
      </c>
      <c r="J24" s="10" t="inlineStr">
        <is>
          <t>기능QA 리스트</t>
        </is>
      </c>
      <c r="K24" s="10" t="inlineStr">
        <is>
          <t>수정 빌드</t>
        </is>
      </c>
      <c r="L24" s="10" t="inlineStr">
        <is>
          <t>Unity</t>
        </is>
      </c>
      <c r="M24" s="9" t="inlineStr">
        <is>
          <t>기획</t>
        </is>
      </c>
      <c r="N24" s="9" t="inlineStr">
        <is>
          <t>중</t>
        </is>
      </c>
      <c r="O24" s="9" t="inlineStr"/>
      <c r="P24" s="9" t="inlineStr">
        <is>
          <t>중</t>
        </is>
      </c>
      <c r="Q24" s="10" t="inlineStr">
        <is>
          <t>버그 리포트 → 재현 단계·원인 후보 정리</t>
        </is>
      </c>
    </row>
    <row r="25">
      <c r="A25" s="9" t="inlineStr">
        <is>
          <t>D-07</t>
        </is>
      </c>
      <c r="B25" s="10" t="inlineStr">
        <is>
          <t>피드백·QA</t>
        </is>
      </c>
      <c r="C25" s="10" t="inlineStr">
        <is>
          <t>버그 분석</t>
        </is>
      </c>
      <c r="D25" s="10" t="inlineStr">
        <is>
          <t>버그 재현 및 원인 분석</t>
        </is>
      </c>
      <c r="E25" s="9" t="inlineStr">
        <is>
          <t>QA</t>
        </is>
      </c>
      <c r="F25" s="9" t="inlineStr">
        <is>
          <t>비정기</t>
        </is>
      </c>
      <c r="G25" s="11" t="n">
        <v>6</v>
      </c>
      <c r="H25" s="12" t="n">
        <v>1</v>
      </c>
      <c r="I25" s="13">
        <f>G25*H25</f>
        <v/>
      </c>
      <c r="J25" s="10" t="inlineStr">
        <is>
          <t>버그 리포트, 로그</t>
        </is>
      </c>
      <c r="K25" s="10" t="inlineStr">
        <is>
          <t>원인 파악</t>
        </is>
      </c>
      <c r="L25" s="10" t="inlineStr">
        <is>
          <t>Unity</t>
        </is>
      </c>
      <c r="M25" s="9" t="inlineStr">
        <is>
          <t>기획</t>
        </is>
      </c>
      <c r="N25" s="9" t="inlineStr">
        <is>
          <t>중</t>
        </is>
      </c>
      <c r="O25" s="9" t="inlineStr"/>
      <c r="P25" s="9" t="inlineStr">
        <is>
          <t>상</t>
        </is>
      </c>
      <c r="Q25" s="10" t="inlineStr">
        <is>
          <t>Unity 콘솔/에러 로그 분석으로 원인 후보 제시</t>
        </is>
      </c>
    </row>
    <row r="26">
      <c r="A26" s="9" t="inlineStr">
        <is>
          <t>E-01</t>
        </is>
      </c>
      <c r="B26" s="10" t="inlineStr">
        <is>
          <t>사운드 연동</t>
        </is>
      </c>
      <c r="C26" s="10" t="inlineStr">
        <is>
          <t>리소스</t>
        </is>
      </c>
      <c r="D26" s="10" t="inlineStr">
        <is>
          <t>사운드 담당자가 전달한 파일 import·설정</t>
        </is>
      </c>
      <c r="E26" s="9" t="inlineStr">
        <is>
          <t>개발 구현</t>
        </is>
      </c>
      <c r="F26" s="9" t="inlineStr">
        <is>
          <t>프로젝트 단계별</t>
        </is>
      </c>
      <c r="G26" s="11" t="n">
        <v>2</v>
      </c>
      <c r="H26" s="12" t="n">
        <v>1</v>
      </c>
      <c r="I26" s="13">
        <f>G26*H26</f>
        <v/>
      </c>
      <c r="J26" s="10" t="inlineStr">
        <is>
          <t>사운드 파일</t>
        </is>
      </c>
      <c r="K26" s="10" t="inlineStr">
        <is>
          <t>import된 AudioClip</t>
        </is>
      </c>
      <c r="L26" s="10" t="inlineStr">
        <is>
          <t>Unity, Slack</t>
        </is>
      </c>
      <c r="M26" s="9" t="inlineStr">
        <is>
          <t>사운드</t>
        </is>
      </c>
      <c r="N26" s="9" t="inlineStr">
        <is>
          <t>상</t>
        </is>
      </c>
      <c r="O26" s="9" t="inlineStr"/>
      <c r="P26" s="9" t="inlineStr">
        <is>
          <t>상</t>
        </is>
      </c>
      <c r="Q26" s="10" t="inlineStr">
        <is>
          <t>파일명 규칙 검사 + import 설정 일괄 적용</t>
        </is>
      </c>
    </row>
    <row r="27">
      <c r="A27" s="9" t="inlineStr">
        <is>
          <t>E-02</t>
        </is>
      </c>
      <c r="B27" s="10" t="inlineStr">
        <is>
          <t>사운드 연동</t>
        </is>
      </c>
      <c r="C27" s="10" t="inlineStr">
        <is>
          <t>키 연동</t>
        </is>
      </c>
      <c r="D27" s="10" t="inlineStr">
        <is>
          <t>스프레드시트 사운드 키를 코드/테이블에 연결</t>
        </is>
      </c>
      <c r="E27" s="9" t="inlineStr">
        <is>
          <t>개발 구현</t>
        </is>
      </c>
      <c r="F27" s="9" t="inlineStr">
        <is>
          <t>프로젝트 단계별</t>
        </is>
      </c>
      <c r="G27" s="11" t="n">
        <v>2</v>
      </c>
      <c r="H27" s="12" t="n">
        <v>2</v>
      </c>
      <c r="I27" s="13">
        <f>G27*H27</f>
        <v/>
      </c>
      <c r="J27" s="10" t="inlineStr">
        <is>
          <t>사운드 키 시트</t>
        </is>
      </c>
      <c r="K27" s="10" t="inlineStr">
        <is>
          <t>사운드 테이블</t>
        </is>
      </c>
      <c r="L27" s="10" t="inlineStr">
        <is>
          <t>Unity, 스프레드시트</t>
        </is>
      </c>
      <c r="M27" s="9" t="inlineStr">
        <is>
          <t>사운드</t>
        </is>
      </c>
      <c r="N27" s="9" t="inlineStr">
        <is>
          <t>상</t>
        </is>
      </c>
      <c r="O27" s="9" t="inlineStr"/>
      <c r="P27" s="9" t="inlineStr">
        <is>
          <t>상</t>
        </is>
      </c>
      <c r="Q27" s="10" t="inlineStr">
        <is>
          <t>시트 → 사운드 테이블 자동 생성</t>
        </is>
      </c>
    </row>
    <row r="28">
      <c r="A28" s="14" t="inlineStr">
        <is>
          <t>E-03</t>
        </is>
      </c>
      <c r="B28" s="15" t="inlineStr">
        <is>
          <t>사운드 연동</t>
        </is>
      </c>
      <c r="C28" s="15" t="inlineStr">
        <is>
          <t>적용 확인</t>
        </is>
      </c>
      <c r="D28" s="15" t="inlineStr">
        <is>
          <t>시트의 사운드 키가 정상 재생되는지 Unity 로그로 확인</t>
        </is>
      </c>
      <c r="E28" s="14" t="inlineStr">
        <is>
          <t>개발 구현</t>
        </is>
      </c>
      <c r="F28" s="14" t="inlineStr">
        <is>
          <t>프로젝트 단계별</t>
        </is>
      </c>
      <c r="G28" s="11" t="n">
        <v>2</v>
      </c>
      <c r="H28" s="12" t="n">
        <v>2</v>
      </c>
      <c r="I28" s="16">
        <f>G28*H28</f>
        <v/>
      </c>
      <c r="J28" s="15" t="inlineStr">
        <is>
          <t>사운드 키 시트, Unity 로그</t>
        </is>
      </c>
      <c r="K28" s="15" t="inlineStr">
        <is>
          <t>확인 결과</t>
        </is>
      </c>
      <c r="L28" s="15" t="inlineStr">
        <is>
          <t>Unity, 스프레드시트</t>
        </is>
      </c>
      <c r="M28" s="14" t="inlineStr">
        <is>
          <t>사운드</t>
        </is>
      </c>
      <c r="N28" s="14" t="inlineStr">
        <is>
          <t>상</t>
        </is>
      </c>
      <c r="O28" s="14" t="inlineStr">
        <is>
          <t>★</t>
        </is>
      </c>
      <c r="P28" s="14" t="inlineStr">
        <is>
          <t>상</t>
        </is>
      </c>
      <c r="Q28" s="15" t="inlineStr">
        <is>
          <t>시트 키 목록 ↔ Unity 로그 자동 대조 → 누락·오타·미재생 리포트</t>
        </is>
      </c>
    </row>
    <row r="29">
      <c r="A29" s="9" t="inlineStr">
        <is>
          <t>E-04</t>
        </is>
      </c>
      <c r="B29" s="10" t="inlineStr">
        <is>
          <t>사운드 연동</t>
        </is>
      </c>
      <c r="C29" s="10" t="inlineStr">
        <is>
          <t>조정</t>
        </is>
      </c>
      <c r="D29" s="10" t="inlineStr">
        <is>
          <t>볼륨·재생 타이밍 조정</t>
        </is>
      </c>
      <c r="E29" s="9" t="inlineStr">
        <is>
          <t>개발 구현</t>
        </is>
      </c>
      <c r="F29" s="9" t="inlineStr">
        <is>
          <t>프로젝트 단계별</t>
        </is>
      </c>
      <c r="G29" s="11" t="n">
        <v>2</v>
      </c>
      <c r="H29" s="12" t="n">
        <v>1</v>
      </c>
      <c r="I29" s="13">
        <f>G29*H29</f>
        <v/>
      </c>
      <c r="J29" s="10" t="inlineStr">
        <is>
          <t>사운드 피드백</t>
        </is>
      </c>
      <c r="K29" s="10" t="inlineStr">
        <is>
          <t>조정 완료</t>
        </is>
      </c>
      <c r="L29" s="10" t="inlineStr">
        <is>
          <t>Unity</t>
        </is>
      </c>
      <c r="M29" s="9" t="inlineStr">
        <is>
          <t>사운드</t>
        </is>
      </c>
      <c r="N29" s="9" t="inlineStr">
        <is>
          <t>중</t>
        </is>
      </c>
      <c r="O29" s="9" t="inlineStr"/>
      <c r="P29" s="9" t="inlineStr">
        <is>
          <t>하</t>
        </is>
      </c>
      <c r="Q29" s="10" t="inlineStr">
        <is>
          <t>-</t>
        </is>
      </c>
    </row>
    <row r="30">
      <c r="A30" s="9" t="inlineStr">
        <is>
          <t>F-01</t>
        </is>
      </c>
      <c r="B30" s="10" t="inlineStr">
        <is>
          <t>빌드·배포</t>
        </is>
      </c>
      <c r="C30" s="10" t="inlineStr">
        <is>
          <t>테스트 빌드</t>
        </is>
      </c>
      <c r="D30" s="10" t="inlineStr">
        <is>
          <t>Android/iOS 테스트 빌드 생성</t>
        </is>
      </c>
      <c r="E30" s="9" t="inlineStr">
        <is>
          <t>개발 구현</t>
        </is>
      </c>
      <c r="F30" s="9" t="inlineStr">
        <is>
          <t>주간</t>
        </is>
      </c>
      <c r="G30" s="11" t="n">
        <v>6</v>
      </c>
      <c r="H30" s="12" t="n">
        <v>1</v>
      </c>
      <c r="I30" s="13">
        <f>G30*H30</f>
        <v/>
      </c>
      <c r="J30" s="10" t="inlineStr">
        <is>
          <t>최신 코드</t>
        </is>
      </c>
      <c r="K30" s="10" t="inlineStr">
        <is>
          <t>테스트 빌드</t>
        </is>
      </c>
      <c r="L30" s="10" t="inlineStr">
        <is>
          <t>Unity</t>
        </is>
      </c>
      <c r="M30" s="9" t="inlineStr">
        <is>
          <t>-</t>
        </is>
      </c>
      <c r="N30" s="9" t="inlineStr">
        <is>
          <t>상</t>
        </is>
      </c>
      <c r="O30" s="9" t="inlineStr"/>
      <c r="P30" s="9" t="inlineStr">
        <is>
          <t>상</t>
        </is>
      </c>
      <c r="Q30" s="10" t="inlineStr">
        <is>
          <t>빌드 스크립트 + GitLab CI 자동 빌드</t>
        </is>
      </c>
    </row>
    <row r="31">
      <c r="A31" s="9" t="inlineStr">
        <is>
          <t>F-02</t>
        </is>
      </c>
      <c r="B31" s="10" t="inlineStr">
        <is>
          <t>빌드·배포</t>
        </is>
      </c>
      <c r="C31" s="10" t="inlineStr">
        <is>
          <t>배포 공지</t>
        </is>
      </c>
      <c r="D31" s="10" t="inlineStr">
        <is>
          <t>테스트 빌드 배포 및 Slack 공유 (링크·변경사항)</t>
        </is>
      </c>
      <c r="E31" s="9" t="inlineStr">
        <is>
          <t>개발 구현</t>
        </is>
      </c>
      <c r="F31" s="9" t="inlineStr">
        <is>
          <t>주간</t>
        </is>
      </c>
      <c r="G31" s="11" t="n">
        <v>6</v>
      </c>
      <c r="H31" s="12" t="n">
        <v>0.5</v>
      </c>
      <c r="I31" s="13">
        <f>G31*H31</f>
        <v/>
      </c>
      <c r="J31" s="10" t="inlineStr">
        <is>
          <t>테스트 빌드, 커밋 기록</t>
        </is>
      </c>
      <c r="K31" s="10" t="inlineStr">
        <is>
          <t>배포 공지</t>
        </is>
      </c>
      <c r="L31" s="10" t="inlineStr">
        <is>
          <t>Slack, GitLab</t>
        </is>
      </c>
      <c r="M31" s="9" t="inlineStr">
        <is>
          <t>기획, 사운드</t>
        </is>
      </c>
      <c r="N31" s="9" t="inlineStr">
        <is>
          <t>상</t>
        </is>
      </c>
      <c r="O31" s="9" t="inlineStr"/>
      <c r="P31" s="9" t="inlineStr">
        <is>
          <t>상</t>
        </is>
      </c>
      <c r="Q31" s="10" t="inlineStr">
        <is>
          <t>지난 빌드 이후 커밋 요약 → 공지문 자동 작성</t>
        </is>
      </c>
    </row>
    <row r="32">
      <c r="A32" s="9" t="inlineStr">
        <is>
          <t>F-03</t>
        </is>
      </c>
      <c r="B32" s="10" t="inlineStr">
        <is>
          <t>빌드·배포</t>
        </is>
      </c>
      <c r="C32" s="10" t="inlineStr">
        <is>
          <t>빌드 오류</t>
        </is>
      </c>
      <c r="D32" s="10" t="inlineStr">
        <is>
          <t>빌드 실패·플랫폼별 오류 대응</t>
        </is>
      </c>
      <c r="E32" s="9" t="inlineStr">
        <is>
          <t>개발 구현</t>
        </is>
      </c>
      <c r="F32" s="9" t="inlineStr">
        <is>
          <t>비정기</t>
        </is>
      </c>
      <c r="G32" s="11" t="n">
        <v>2</v>
      </c>
      <c r="H32" s="12" t="n">
        <v>1</v>
      </c>
      <c r="I32" s="13">
        <f>G32*H32</f>
        <v/>
      </c>
      <c r="J32" s="10" t="inlineStr">
        <is>
          <t>빌드 로그</t>
        </is>
      </c>
      <c r="K32" s="10" t="inlineStr">
        <is>
          <t>해결</t>
        </is>
      </c>
      <c r="L32" s="10" t="inlineStr">
        <is>
          <t>Unity</t>
        </is>
      </c>
      <c r="M32" s="9" t="inlineStr">
        <is>
          <t>-</t>
        </is>
      </c>
      <c r="N32" s="9" t="inlineStr">
        <is>
          <t>중</t>
        </is>
      </c>
      <c r="O32" s="9" t="inlineStr"/>
      <c r="P32" s="9" t="inlineStr">
        <is>
          <t>상</t>
        </is>
      </c>
      <c r="Q32" s="10" t="inlineStr">
        <is>
          <t>빌드 로그 분석으로 원인·해결책 제시</t>
        </is>
      </c>
    </row>
    <row r="33">
      <c r="A33" s="9" t="inlineStr">
        <is>
          <t>F-04</t>
        </is>
      </c>
      <c r="B33" s="10" t="inlineStr">
        <is>
          <t>빌드·배포</t>
        </is>
      </c>
      <c r="C33" s="10" t="inlineStr">
        <is>
          <t>버전 관리</t>
        </is>
      </c>
      <c r="D33" s="10" t="inlineStr">
        <is>
          <t>커밋·브랜치·태그, 버전코드 관리</t>
        </is>
      </c>
      <c r="E33" s="9" t="inlineStr">
        <is>
          <t>상시</t>
        </is>
      </c>
      <c r="F33" s="9" t="inlineStr">
        <is>
          <t>일간</t>
        </is>
      </c>
      <c r="G33" s="11" t="n">
        <v>20</v>
      </c>
      <c r="H33" s="12" t="n">
        <v>0.25</v>
      </c>
      <c r="I33" s="13">
        <f>G33*H33</f>
        <v/>
      </c>
      <c r="J33" s="10" t="inlineStr">
        <is>
          <t>작업 내용</t>
        </is>
      </c>
      <c r="K33" s="10" t="inlineStr">
        <is>
          <t>커밋</t>
        </is>
      </c>
      <c r="L33" s="10" t="inlineStr">
        <is>
          <t>GitLab</t>
        </is>
      </c>
      <c r="M33" s="9" t="inlineStr">
        <is>
          <t>-</t>
        </is>
      </c>
      <c r="N33" s="9" t="inlineStr">
        <is>
          <t>상</t>
        </is>
      </c>
      <c r="O33" s="9" t="inlineStr"/>
      <c r="P33" s="9" t="inlineStr">
        <is>
          <t>중</t>
        </is>
      </c>
      <c r="Q33" s="10" t="inlineStr">
        <is>
          <t>커밋 메시지 자동 작성, 버전코드 자동 증가</t>
        </is>
      </c>
    </row>
    <row r="34">
      <c r="A34" s="9" t="inlineStr">
        <is>
          <t>G-01</t>
        </is>
      </c>
      <c r="B34" s="10" t="inlineStr">
        <is>
          <t>다국어</t>
        </is>
      </c>
      <c r="C34" s="10" t="inlineStr">
        <is>
          <t>텍스트 반영</t>
        </is>
      </c>
      <c r="D34" s="10" t="inlineStr">
        <is>
          <t>다국어 텍스트 시트 → 프로젝트 반영</t>
        </is>
      </c>
      <c r="E34" s="9" t="inlineStr">
        <is>
          <t>다국어</t>
        </is>
      </c>
      <c r="F34" s="9" t="inlineStr">
        <is>
          <t>프로젝트 단계별</t>
        </is>
      </c>
      <c r="G34" s="11" t="n">
        <v>0.5</v>
      </c>
      <c r="H34" s="12" t="n">
        <v>2</v>
      </c>
      <c r="I34" s="13">
        <f>G34*H34</f>
        <v/>
      </c>
      <c r="J34" s="10" t="inlineStr">
        <is>
          <t>다국어 시트</t>
        </is>
      </c>
      <c r="K34" s="10" t="inlineStr">
        <is>
          <t>로컬라이징 데이터</t>
        </is>
      </c>
      <c r="L34" s="10" t="inlineStr">
        <is>
          <t>스프레드시트, Unity</t>
        </is>
      </c>
      <c r="M34" s="9" t="inlineStr">
        <is>
          <t>기획</t>
        </is>
      </c>
      <c r="N34" s="9" t="inlineStr">
        <is>
          <t>상</t>
        </is>
      </c>
      <c r="O34" s="9" t="inlineStr"/>
      <c r="P34" s="9" t="inlineStr">
        <is>
          <t>상</t>
        </is>
      </c>
      <c r="Q34" s="10" t="inlineStr">
        <is>
          <t>시트 → 데이터 변환, 누락 키·포맷 오류 검사</t>
        </is>
      </c>
    </row>
    <row r="35">
      <c r="A35" s="9" t="inlineStr">
        <is>
          <t>G-02</t>
        </is>
      </c>
      <c r="B35" s="10" t="inlineStr">
        <is>
          <t>다국어</t>
        </is>
      </c>
      <c r="C35" s="10" t="inlineStr">
        <is>
          <t>UI 확인</t>
        </is>
      </c>
      <c r="D35" s="10" t="inlineStr">
        <is>
          <t>언어별 UI 깨짐 확인 (폰트, 글자 넘침)</t>
        </is>
      </c>
      <c r="E35" s="9" t="inlineStr">
        <is>
          <t>다국어</t>
        </is>
      </c>
      <c r="F35" s="9" t="inlineStr">
        <is>
          <t>프로젝트 단계별</t>
        </is>
      </c>
      <c r="G35" s="11" t="n">
        <v>0.5</v>
      </c>
      <c r="H35" s="12" t="n">
        <v>2</v>
      </c>
      <c r="I35" s="13">
        <f>G35*H35</f>
        <v/>
      </c>
      <c r="J35" s="10" t="inlineStr">
        <is>
          <t>다국어 빌드</t>
        </is>
      </c>
      <c r="K35" s="10" t="inlineStr">
        <is>
          <t>확인 결과</t>
        </is>
      </c>
      <c r="L35" s="10" t="inlineStr">
        <is>
          <t>Unity</t>
        </is>
      </c>
      <c r="M35" s="9" t="inlineStr">
        <is>
          <t>기획</t>
        </is>
      </c>
      <c r="N35" s="9" t="inlineStr">
        <is>
          <t>중</t>
        </is>
      </c>
      <c r="O35" s="9" t="inlineStr"/>
      <c r="P35" s="9" t="inlineStr">
        <is>
          <t>중</t>
        </is>
      </c>
      <c r="Q35" s="10" t="inlineStr">
        <is>
          <t>언어별 글자수 초과 후보 사전 검출</t>
        </is>
      </c>
    </row>
    <row r="36">
      <c r="A36" s="9" t="inlineStr">
        <is>
          <t>G-03</t>
        </is>
      </c>
      <c r="B36" s="10" t="inlineStr">
        <is>
          <t>다국어</t>
        </is>
      </c>
      <c r="C36" s="10" t="inlineStr">
        <is>
          <t>리소스 교체</t>
        </is>
      </c>
      <c r="D36" s="10" t="inlineStr">
        <is>
          <t>언어별 이미지·폰트 리소스 교체</t>
        </is>
      </c>
      <c r="E36" s="9" t="inlineStr">
        <is>
          <t>다국어</t>
        </is>
      </c>
      <c r="F36" s="9" t="inlineStr">
        <is>
          <t>프로젝트 단계별</t>
        </is>
      </c>
      <c r="G36" s="11" t="n">
        <v>0.5</v>
      </c>
      <c r="H36" s="12" t="n">
        <v>1</v>
      </c>
      <c r="I36" s="13">
        <f>G36*H36</f>
        <v/>
      </c>
      <c r="J36" s="10" t="inlineStr">
        <is>
          <t>언어별 리소스</t>
        </is>
      </c>
      <c r="K36" s="10" t="inlineStr">
        <is>
          <t>교체 완료</t>
        </is>
      </c>
      <c r="L36" s="10" t="inlineStr">
        <is>
          <t>Unity</t>
        </is>
      </c>
      <c r="M36" s="9" t="inlineStr">
        <is>
          <t>기획</t>
        </is>
      </c>
      <c r="N36" s="9" t="inlineStr">
        <is>
          <t>중</t>
        </is>
      </c>
      <c r="O36" s="9" t="inlineStr"/>
      <c r="P36" s="9" t="inlineStr">
        <is>
          <t>중</t>
        </is>
      </c>
      <c r="Q36" s="10" t="inlineStr">
        <is>
          <t>리소스 누락 검사 스크립트</t>
        </is>
      </c>
    </row>
    <row r="37">
      <c r="A37" s="9" t="inlineStr">
        <is>
          <t>H-01</t>
        </is>
      </c>
      <c r="B37" s="10" t="inlineStr">
        <is>
          <t>출시·스토어</t>
        </is>
      </c>
      <c r="C37" s="10" t="inlineStr">
        <is>
          <t>스토어 개설</t>
        </is>
      </c>
      <c r="D37" s="10" t="inlineStr">
        <is>
          <t>Google Play Console / App Store Connect 앱 등록</t>
        </is>
      </c>
      <c r="E37" s="9" t="inlineStr">
        <is>
          <t>출시 준비</t>
        </is>
      </c>
      <c r="F37" s="9" t="inlineStr">
        <is>
          <t>비정기</t>
        </is>
      </c>
      <c r="G37" s="11" t="n">
        <v>0.25</v>
      </c>
      <c r="H37" s="12" t="n">
        <v>2</v>
      </c>
      <c r="I37" s="13">
        <f>G37*H37</f>
        <v/>
      </c>
      <c r="J37" s="10" t="inlineStr">
        <is>
          <t>앱 정보</t>
        </is>
      </c>
      <c r="K37" s="10" t="inlineStr">
        <is>
          <t>스토어 페이지</t>
        </is>
      </c>
      <c r="L37" s="10" t="inlineStr">
        <is>
          <t>스토어 콘솔</t>
        </is>
      </c>
      <c r="M37" s="9" t="inlineStr">
        <is>
          <t>기획</t>
        </is>
      </c>
      <c r="N37" s="9" t="inlineStr">
        <is>
          <t>하</t>
        </is>
      </c>
      <c r="O37" s="9" t="inlineStr"/>
      <c r="P37" s="9" t="inlineStr">
        <is>
          <t>하</t>
        </is>
      </c>
      <c r="Q37" s="10" t="inlineStr">
        <is>
          <t>등록 항목 체크리스트 제공 (입력은 직접)</t>
        </is>
      </c>
    </row>
    <row r="38">
      <c r="A38" s="9" t="inlineStr">
        <is>
          <t>H-02</t>
        </is>
      </c>
      <c r="B38" s="10" t="inlineStr">
        <is>
          <t>출시·스토어</t>
        </is>
      </c>
      <c r="C38" s="10" t="inlineStr">
        <is>
          <t>스토어 정보</t>
        </is>
      </c>
      <c r="D38" s="10" t="inlineStr">
        <is>
          <t>설명·스크린샷·연령등급·개인정보 항목 작성</t>
        </is>
      </c>
      <c r="E38" s="9" t="inlineStr">
        <is>
          <t>출시 준비</t>
        </is>
      </c>
      <c r="F38" s="9" t="inlineStr">
        <is>
          <t>비정기</t>
        </is>
      </c>
      <c r="G38" s="11" t="n">
        <v>0.25</v>
      </c>
      <c r="H38" s="12" t="n">
        <v>3</v>
      </c>
      <c r="I38" s="13">
        <f>G38*H38</f>
        <v/>
      </c>
      <c r="J38" s="10" t="inlineStr">
        <is>
          <t>기획 자료</t>
        </is>
      </c>
      <c r="K38" s="10" t="inlineStr">
        <is>
          <t>스토어 정보</t>
        </is>
      </c>
      <c r="L38" s="10" t="inlineStr">
        <is>
          <t>스토어 콘솔</t>
        </is>
      </c>
      <c r="M38" s="9" t="inlineStr">
        <is>
          <t>기획</t>
        </is>
      </c>
      <c r="N38" s="9" t="inlineStr">
        <is>
          <t>하</t>
        </is>
      </c>
      <c r="O38" s="9" t="inlineStr"/>
      <c r="P38" s="9" t="inlineStr">
        <is>
          <t>중</t>
        </is>
      </c>
      <c r="Q38" s="10" t="inlineStr">
        <is>
          <t>다국어 스토어 설명문 초안, 키즈 정책 체크리스트</t>
        </is>
      </c>
    </row>
    <row r="39">
      <c r="A39" s="9" t="inlineStr">
        <is>
          <t>H-03</t>
        </is>
      </c>
      <c r="B39" s="10" t="inlineStr">
        <is>
          <t>출시·스토어</t>
        </is>
      </c>
      <c r="C39" s="10" t="inlineStr">
        <is>
          <t>출시 빌드</t>
        </is>
      </c>
      <c r="D39" s="10" t="inlineStr">
        <is>
          <t>릴리즈 빌드(서명·설정) 생성</t>
        </is>
      </c>
      <c r="E39" s="9" t="inlineStr">
        <is>
          <t>출시 준비</t>
        </is>
      </c>
      <c r="F39" s="9" t="inlineStr">
        <is>
          <t>비정기</t>
        </is>
      </c>
      <c r="G39" s="11" t="n">
        <v>0.25</v>
      </c>
      <c r="H39" s="12" t="n">
        <v>2</v>
      </c>
      <c r="I39" s="13">
        <f>G39*H39</f>
        <v/>
      </c>
      <c r="J39" s="10" t="inlineStr">
        <is>
          <t>최종 코드</t>
        </is>
      </c>
      <c r="K39" s="10" t="inlineStr">
        <is>
          <t>릴리즈 빌드</t>
        </is>
      </c>
      <c r="L39" s="10" t="inlineStr">
        <is>
          <t>Unity</t>
        </is>
      </c>
      <c r="M39" s="9" t="inlineStr">
        <is>
          <t>-</t>
        </is>
      </c>
      <c r="N39" s="9" t="inlineStr">
        <is>
          <t>중</t>
        </is>
      </c>
      <c r="O39" s="9" t="inlineStr"/>
      <c r="P39" s="9" t="inlineStr">
        <is>
          <t>상</t>
        </is>
      </c>
      <c r="Q39" s="10" t="inlineStr">
        <is>
          <t>출시 전 설정 점검 스크립트 (디버그 로그 제거 등)</t>
        </is>
      </c>
    </row>
    <row r="40">
      <c r="A40" s="9" t="inlineStr">
        <is>
          <t>H-04</t>
        </is>
      </c>
      <c r="B40" s="10" t="inlineStr">
        <is>
          <t>출시·스토어</t>
        </is>
      </c>
      <c r="C40" s="10" t="inlineStr">
        <is>
          <t>심사</t>
        </is>
      </c>
      <c r="D40" s="10" t="inlineStr">
        <is>
          <t>심사 제출 및 리젝 대응</t>
        </is>
      </c>
      <c r="E40" s="9" t="inlineStr">
        <is>
          <t>출시 준비</t>
        </is>
      </c>
      <c r="F40" s="9" t="inlineStr">
        <is>
          <t>비정기</t>
        </is>
      </c>
      <c r="G40" s="11" t="n">
        <v>0.25</v>
      </c>
      <c r="H40" s="12" t="n">
        <v>2</v>
      </c>
      <c r="I40" s="13">
        <f>G40*H40</f>
        <v/>
      </c>
      <c r="J40" s="10" t="inlineStr">
        <is>
          <t>심사 결과</t>
        </is>
      </c>
      <c r="K40" s="10" t="inlineStr">
        <is>
          <t>출시</t>
        </is>
      </c>
      <c r="L40" s="10" t="inlineStr">
        <is>
          <t>스토어 콘솔</t>
        </is>
      </c>
      <c r="M40" s="9" t="inlineStr">
        <is>
          <t>기획</t>
        </is>
      </c>
      <c r="N40" s="9" t="inlineStr">
        <is>
          <t>하</t>
        </is>
      </c>
      <c r="O40" s="9" t="inlineStr"/>
      <c r="P40" s="9" t="inlineStr">
        <is>
          <t>중</t>
        </is>
      </c>
      <c r="Q40" s="10" t="inlineStr">
        <is>
          <t>리젝 사유 해석·대응 방안 정리</t>
        </is>
      </c>
    </row>
    <row r="41">
      <c r="A41" s="9" t="inlineStr">
        <is>
          <t>I-01</t>
        </is>
      </c>
      <c r="B41" s="10" t="inlineStr">
        <is>
          <t>유지보수</t>
        </is>
      </c>
      <c r="C41" s="10" t="inlineStr">
        <is>
          <t>코드 정리</t>
        </is>
      </c>
      <c r="D41" s="10" t="inlineStr">
        <is>
          <t>미사용 코드·에셋 삭제, 리팩토링</t>
        </is>
      </c>
      <c r="E41" s="9" t="inlineStr">
        <is>
          <t>출시 후</t>
        </is>
      </c>
      <c r="F41" s="9" t="inlineStr">
        <is>
          <t>프로젝트 단계별</t>
        </is>
      </c>
      <c r="G41" s="11" t="n">
        <v>0.25</v>
      </c>
      <c r="H41" s="12" t="n">
        <v>8</v>
      </c>
      <c r="I41" s="13">
        <f>G41*H41</f>
        <v/>
      </c>
      <c r="J41" s="10" t="inlineStr">
        <is>
          <t>프로젝트 코드</t>
        </is>
      </c>
      <c r="K41" s="10" t="inlineStr">
        <is>
          <t>정리된 코드</t>
        </is>
      </c>
      <c r="L41" s="10" t="inlineStr">
        <is>
          <t>Unity, GitLab</t>
        </is>
      </c>
      <c r="M41" s="9" t="inlineStr">
        <is>
          <t>-</t>
        </is>
      </c>
      <c r="N41" s="9" t="inlineStr">
        <is>
          <t>중</t>
        </is>
      </c>
      <c r="O41" s="9" t="inlineStr"/>
      <c r="P41" s="9" t="inlineStr">
        <is>
          <t>상</t>
        </is>
      </c>
      <c r="Q41" s="10" t="inlineStr">
        <is>
          <t>미사용 스크립트·에셋 탐지, 리팩토링 제안</t>
        </is>
      </c>
    </row>
    <row r="42">
      <c r="A42" s="9" t="inlineStr">
        <is>
          <t>I-02</t>
        </is>
      </c>
      <c r="B42" s="10" t="inlineStr">
        <is>
          <t>유지보수</t>
        </is>
      </c>
      <c r="C42" s="10" t="inlineStr">
        <is>
          <t>버전 업</t>
        </is>
      </c>
      <c r="D42" s="10" t="inlineStr">
        <is>
          <t>Unity·SDK 버전 업, OS 대응 업데이트</t>
        </is>
      </c>
      <c r="E42" s="9" t="inlineStr">
        <is>
          <t>출시 후</t>
        </is>
      </c>
      <c r="F42" s="9" t="inlineStr">
        <is>
          <t>비정기</t>
        </is>
      </c>
      <c r="G42" s="11" t="n">
        <v>1</v>
      </c>
      <c r="H42" s="12" t="n">
        <v>4</v>
      </c>
      <c r="I42" s="13">
        <f>G42*H42</f>
        <v/>
      </c>
      <c r="J42" s="10" t="inlineStr">
        <is>
          <t>SDK 공지</t>
        </is>
      </c>
      <c r="K42" s="10" t="inlineStr">
        <is>
          <t>업데이트 빌드</t>
        </is>
      </c>
      <c r="L42" s="10" t="inlineStr">
        <is>
          <t>Unity</t>
        </is>
      </c>
      <c r="M42" s="9" t="inlineStr">
        <is>
          <t>-</t>
        </is>
      </c>
      <c r="N42" s="9" t="inlineStr">
        <is>
          <t>중</t>
        </is>
      </c>
      <c r="O42" s="9" t="inlineStr"/>
      <c r="P42" s="9" t="inlineStr">
        <is>
          <t>중</t>
        </is>
      </c>
      <c r="Q42" s="10" t="inlineStr">
        <is>
          <t>SDK 변경점(changelog) 요약, 영향 범위 분석</t>
        </is>
      </c>
    </row>
    <row r="43">
      <c r="A43" s="9" t="inlineStr">
        <is>
          <t>I-03</t>
        </is>
      </c>
      <c r="B43" s="10" t="inlineStr">
        <is>
          <t>유지보수</t>
        </is>
      </c>
      <c r="C43" s="10" t="inlineStr">
        <is>
          <t>이슈 대응</t>
        </is>
      </c>
      <c r="D43" s="10" t="inlineStr">
        <is>
          <t>출시 후 크래시·리뷰 이슈 대응</t>
        </is>
      </c>
      <c r="E43" s="9" t="inlineStr">
        <is>
          <t>출시 후</t>
        </is>
      </c>
      <c r="F43" s="9" t="inlineStr">
        <is>
          <t>비정기</t>
        </is>
      </c>
      <c r="G43" s="11" t="n">
        <v>1</v>
      </c>
      <c r="H43" s="12" t="n">
        <v>2</v>
      </c>
      <c r="I43" s="13">
        <f>G43*H43</f>
        <v/>
      </c>
      <c r="J43" s="10" t="inlineStr">
        <is>
          <t>크래시 리포트, 리뷰</t>
        </is>
      </c>
      <c r="K43" s="10" t="inlineStr">
        <is>
          <t>수정 빌드</t>
        </is>
      </c>
      <c r="L43" s="10" t="inlineStr">
        <is>
          <t>Unity, 스토어 콘솔</t>
        </is>
      </c>
      <c r="M43" s="9" t="inlineStr">
        <is>
          <t>기획</t>
        </is>
      </c>
      <c r="N43" s="9" t="inlineStr">
        <is>
          <t>중</t>
        </is>
      </c>
      <c r="O43" s="9" t="inlineStr"/>
      <c r="P43" s="9" t="inlineStr">
        <is>
          <t>상</t>
        </is>
      </c>
      <c r="Q43" s="10" t="inlineStr">
        <is>
          <t>크래시 스택트레이스 분석, 리뷰 요약·분류</t>
        </is>
      </c>
    </row>
    <row r="44">
      <c r="A44" s="9" t="inlineStr">
        <is>
          <t>J-01</t>
        </is>
      </c>
      <c r="B44" s="10" t="inlineStr">
        <is>
          <t>커뮤니케이션</t>
        </is>
      </c>
      <c r="C44" s="10" t="inlineStr">
        <is>
          <t>Slack</t>
        </is>
      </c>
      <c r="D44" s="10" t="inlineStr">
        <is>
          <t>Slack 확인·응답 (기획/사운드)</t>
        </is>
      </c>
      <c r="E44" s="9" t="inlineStr">
        <is>
          <t>상시</t>
        </is>
      </c>
      <c r="F44" s="9" t="inlineStr">
        <is>
          <t>일간</t>
        </is>
      </c>
      <c r="G44" s="11" t="n">
        <v>20</v>
      </c>
      <c r="H44" s="12" t="n">
        <v>0.3</v>
      </c>
      <c r="I44" s="13">
        <f>G44*H44</f>
        <v/>
      </c>
      <c r="J44" s="10" t="inlineStr">
        <is>
          <t>Slack 메시지</t>
        </is>
      </c>
      <c r="K44" s="10" t="inlineStr">
        <is>
          <t>응답</t>
        </is>
      </c>
      <c r="L44" s="10" t="inlineStr">
        <is>
          <t>Slack</t>
        </is>
      </c>
      <c r="M44" s="9" t="inlineStr">
        <is>
          <t>기획, 사운드</t>
        </is>
      </c>
      <c r="N44" s="9" t="inlineStr">
        <is>
          <t>상</t>
        </is>
      </c>
      <c r="O44" s="9" t="inlineStr"/>
      <c r="P44" s="9" t="inlineStr">
        <is>
          <t>중</t>
        </is>
      </c>
      <c r="Q44" s="10" t="inlineStr">
        <is>
          <t>놓친 요청·할 일 추출 요약</t>
        </is>
      </c>
    </row>
    <row r="45">
      <c r="A45" s="9" t="inlineStr">
        <is>
          <t>J-02</t>
        </is>
      </c>
      <c r="B45" s="10" t="inlineStr">
        <is>
          <t>커뮤니케이션</t>
        </is>
      </c>
      <c r="C45" s="10" t="inlineStr">
        <is>
          <t>요청</t>
        </is>
      </c>
      <c r="D45" s="10" t="inlineStr">
        <is>
          <t>리소스·사운드 요청 및 전달 사항 정리</t>
        </is>
      </c>
      <c r="E45" s="9" t="inlineStr">
        <is>
          <t>상시</t>
        </is>
      </c>
      <c r="F45" s="9" t="inlineStr">
        <is>
          <t>비정기</t>
        </is>
      </c>
      <c r="G45" s="11" t="n">
        <v>4</v>
      </c>
      <c r="H45" s="12" t="n">
        <v>0.3</v>
      </c>
      <c r="I45" s="13">
        <f>G45*H45</f>
        <v/>
      </c>
      <c r="J45" s="10" t="inlineStr">
        <is>
          <t>작업 필요사항</t>
        </is>
      </c>
      <c r="K45" s="10" t="inlineStr">
        <is>
          <t>요청 메시지</t>
        </is>
      </c>
      <c r="L45" s="10" t="inlineStr">
        <is>
          <t>Slack</t>
        </is>
      </c>
      <c r="M45" s="9" t="inlineStr">
        <is>
          <t>기획, 사운드</t>
        </is>
      </c>
      <c r="N45" s="9" t="inlineStr">
        <is>
          <t>중</t>
        </is>
      </c>
      <c r="O45" s="9" t="inlineStr"/>
      <c r="P45" s="9" t="inlineStr">
        <is>
          <t>중</t>
        </is>
      </c>
      <c r="Q45" s="10" t="inlineStr">
        <is>
          <t>필요 리소스 목록 → 요청 메시지 초안</t>
        </is>
      </c>
    </row>
  </sheetData>
  <autoFilter ref="A1:Q45"/>
  <dataValidations count="4">
    <dataValidation sqref="N2:N45" showDropDown="0" showInputMessage="0" showErrorMessage="0" allowBlank="1" type="list">
      <formula1>"상,중,하"</formula1>
    </dataValidation>
    <dataValidation sqref="P2:P45" showDropDown="0" showInputMessage="0" showErrorMessage="0" allowBlank="1" type="list">
      <formula1>"상,중,하"</formula1>
    </dataValidation>
    <dataValidation sqref="O2:O45" showDropDown="0" showInputMessage="0" showErrorMessage="0" allowBlank="1" type="list">
      <formula1>"★"</formula1>
    </dataValidation>
    <dataValidation sqref="F2:F45" showDropDown="0" showInputMessage="0" showErrorMessage="0" allowBlank="1" type="list">
      <formula1>"일간,주간,프로젝트 단계별,비정기"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20" customWidth="1" min="3" max="3"/>
    <col width="52" customWidth="1" min="4" max="4"/>
    <col width="22" customWidth="1" min="5" max="5"/>
    <col width="32" customWidth="1" min="6" max="6"/>
  </cols>
  <sheetData>
    <row r="1">
      <c r="A1" s="8" t="inlineStr">
        <is>
          <t>순서</t>
        </is>
      </c>
      <c r="B1" s="8" t="inlineStr">
        <is>
          <t>단계</t>
        </is>
      </c>
      <c r="C1" s="8" t="inlineStr">
        <is>
          <t>시점·기간</t>
        </is>
      </c>
      <c r="D1" s="8" t="inlineStr">
        <is>
          <t>개발자 주요 작업</t>
        </is>
      </c>
      <c r="E1" s="8" t="inlineStr">
        <is>
          <t>관련 업무 ID</t>
        </is>
      </c>
      <c r="F1" s="8" t="inlineStr">
        <is>
          <t>완료 조건·산출물</t>
        </is>
      </c>
    </row>
    <row r="2">
      <c r="A2" s="9" t="n">
        <v>1</v>
      </c>
      <c r="B2" s="17" t="inlineStr">
        <is>
          <t>러프 전달 회의</t>
        </is>
      </c>
      <c r="C2" s="10" t="inlineStr">
        <is>
          <t>프로젝트 시작</t>
        </is>
      </c>
      <c r="D2" s="10" t="inlineStr">
        <is>
          <t>기획 러프 검토, 구현 가능성·리스크 의견</t>
        </is>
      </c>
      <c r="E2" s="10" t="inlineStr">
        <is>
          <t>A-05</t>
        </is>
      </c>
      <c r="F2" s="10" t="inlineStr">
        <is>
          <t>구현 방향 공유</t>
        </is>
      </c>
    </row>
    <row r="3">
      <c r="A3" s="9" t="n">
        <v>2</v>
      </c>
      <c r="B3" s="17" t="inlineStr">
        <is>
          <t>킥오프</t>
        </is>
      </c>
      <c r="C3" s="10" t="inlineStr">
        <is>
          <t>러프 확정 후</t>
        </is>
      </c>
      <c r="D3" s="10" t="inlineStr">
        <is>
          <t>범위·일정 확정, 기획서 작업 분해, 팀 스케줄 공유표 작성</t>
        </is>
      </c>
      <c r="E3" s="10" t="inlineStr">
        <is>
          <t>A-06, A-07, A-01</t>
        </is>
      </c>
      <c r="F3" s="10" t="inlineStr">
        <is>
          <t>확정 일정표</t>
        </is>
      </c>
    </row>
    <row r="4">
      <c r="A4" s="9" t="n">
        <v>3</v>
      </c>
      <c r="B4" s="17" t="inlineStr">
        <is>
          <t>준비 기간</t>
        </is>
      </c>
      <c r="C4" s="10" t="inlineStr">
        <is>
          <t>킥오프 후 1개월+ 텀</t>
        </is>
      </c>
      <c r="D4" s="10" t="inlineStr">
        <is>
          <t>신규 프로젝트 세팅(Unity·GitLab·SDK·템플릿)</t>
        </is>
      </c>
      <c r="E4" s="10" t="inlineStr">
        <is>
          <t>B-01 ~ B-04</t>
        </is>
      </c>
      <c r="F4" s="10" t="inlineStr">
        <is>
          <t>개발 가능한 프로젝트 골격</t>
        </is>
      </c>
    </row>
    <row r="5">
      <c r="A5" s="9" t="n">
        <v>4</v>
      </c>
      <c r="B5" s="17" t="inlineStr">
        <is>
          <t>개발 구현</t>
        </is>
      </c>
      <c r="C5" s="10" t="inlineStr">
        <is>
          <t>준비 기간 이후</t>
        </is>
      </c>
      <c r="D5" s="10" t="inlineStr">
        <is>
          <t>기능·컨텐츠 개발, 연출, 파티클, 사운드 연동, 밸런싱(초안), 테스트 빌드 배포</t>
        </is>
      </c>
      <c r="E5" s="10" t="inlineStr">
        <is>
          <t>C-01 ~ C-06, E-01 ~ E-04, F-01 ~ F-03</t>
        </is>
      </c>
      <c r="F5" s="10" t="inlineStr">
        <is>
          <t>기능 완성 빌드</t>
        </is>
      </c>
    </row>
    <row r="6">
      <c r="A6" s="9" t="n">
        <v>5</v>
      </c>
      <c r="B6" s="17" t="inlineStr">
        <is>
          <t>기획QA</t>
        </is>
      </c>
      <c r="C6" s="10" t="inlineStr">
        <is>
          <t>개발 완료 후</t>
        </is>
      </c>
      <c r="D6" s="10" t="inlineStr">
        <is>
          <t>기획 의도대로 구현됐는지 검수, 이슈 수정</t>
        </is>
      </c>
      <c r="E6" s="10" t="inlineStr">
        <is>
          <t>D-01 ~ D-04</t>
        </is>
      </c>
      <c r="F6" s="10" t="inlineStr">
        <is>
          <t>기획QA 통과</t>
        </is>
      </c>
    </row>
    <row r="7">
      <c r="A7" s="9" t="n">
        <v>6</v>
      </c>
      <c r="B7" s="17" t="inlineStr">
        <is>
          <t>컨썸QA</t>
        </is>
      </c>
      <c r="C7" s="10" t="inlineStr">
        <is>
          <t>기획QA 이후</t>
        </is>
      </c>
      <c r="D7" s="10" t="inlineStr">
        <is>
          <t>컨썸QA 이슈 수정</t>
        </is>
      </c>
      <c r="E7" s="10" t="inlineStr">
        <is>
          <t>D-05</t>
        </is>
      </c>
      <c r="F7" s="10" t="inlineStr">
        <is>
          <t>컨썸QA 통과</t>
        </is>
      </c>
    </row>
    <row r="8">
      <c r="A8" s="9" t="n">
        <v>7</v>
      </c>
      <c r="B8" s="17" t="inlineStr">
        <is>
          <t>기능QA</t>
        </is>
      </c>
      <c r="C8" s="10" t="inlineStr">
        <is>
          <t>컨썸QA 이후</t>
        </is>
      </c>
      <c r="D8" s="10" t="inlineStr">
        <is>
          <t>버그·기능 검수 대응, 버그 수정</t>
        </is>
      </c>
      <c r="E8" s="10" t="inlineStr">
        <is>
          <t>D-06, D-07</t>
        </is>
      </c>
      <c r="F8" s="10" t="inlineStr">
        <is>
          <t>기능QA 통과</t>
        </is>
      </c>
    </row>
    <row r="9">
      <c r="A9" s="9" t="n">
        <v>8</v>
      </c>
      <c r="B9" s="17" t="inlineStr">
        <is>
          <t>다국어 업데이트</t>
        </is>
      </c>
      <c r="C9" s="10" t="inlineStr">
        <is>
          <t>QA 이후</t>
        </is>
      </c>
      <c r="D9" s="10" t="inlineStr">
        <is>
          <t>다국어 텍스트·리소스 반영, 언어별 UI 확인</t>
        </is>
      </c>
      <c r="E9" s="10" t="inlineStr">
        <is>
          <t>G-01 ~ G-03</t>
        </is>
      </c>
      <c r="F9" s="10" t="inlineStr">
        <is>
          <t>다국어 빌드</t>
        </is>
      </c>
    </row>
    <row r="10">
      <c r="A10" s="9" t="n">
        <v>9</v>
      </c>
      <c r="B10" s="17" t="inlineStr">
        <is>
          <t>출시 준비</t>
        </is>
      </c>
      <c r="C10" s="10" t="inlineStr">
        <is>
          <t>다국어 이후 (확인 필요)</t>
        </is>
      </c>
      <c r="D10" s="10" t="inlineStr">
        <is>
          <t>스토어 개설·정보 작성, 릴리즈 빌드, 심사 대응</t>
        </is>
      </c>
      <c r="E10" s="10" t="inlineStr">
        <is>
          <t>H-01 ~ H-04</t>
        </is>
      </c>
      <c r="F10" s="10" t="inlineStr">
        <is>
          <t>스토어 출시</t>
        </is>
      </c>
    </row>
    <row r="11">
      <c r="A11" s="9" t="n">
        <v>10</v>
      </c>
      <c r="B11" s="17" t="inlineStr">
        <is>
          <t>코드 정리</t>
        </is>
      </c>
      <c r="C11" s="10" t="inlineStr">
        <is>
          <t>출시 전후</t>
        </is>
      </c>
      <c r="D11" s="10" t="inlineStr">
        <is>
          <t>미사용 코드·에셋 정리, 리팩토링</t>
        </is>
      </c>
      <c r="E11" s="10" t="inlineStr">
        <is>
          <t>I-01</t>
        </is>
      </c>
      <c r="F11" s="10" t="inlineStr">
        <is>
          <t>정리된 코드</t>
        </is>
      </c>
    </row>
    <row r="12">
      <c r="A12" s="9" t="n">
        <v>11</v>
      </c>
      <c r="B12" s="17" t="inlineStr">
        <is>
          <t>유지보수</t>
        </is>
      </c>
      <c r="C12" s="10" t="inlineStr">
        <is>
          <t>지속</t>
        </is>
      </c>
      <c r="D12" s="10" t="inlineStr">
        <is>
          <t>Unity·SDK 버전 업, 출시 후 이슈 대응</t>
        </is>
      </c>
      <c r="E12" s="10" t="inlineStr">
        <is>
          <t>I-02, I-03</t>
        </is>
      </c>
      <c r="F12" s="10" t="inlineStr">
        <is>
          <t>안정 운영</t>
        </is>
      </c>
    </row>
    <row r="14">
      <c r="A14" s="18" t="inlineStr">
        <is>
          <t>※ 단계 1~8, 10, 11은 팀 '개발자 업무 진행도' 표 기준. 9 출시 준비는 표에 보이지 않아 위치를 추정했습니다. 실제 순서에 맞게 고쳐 주세요.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56" customWidth="1" min="4" max="4"/>
    <col width="11" customWidth="1" min="5" max="5"/>
    <col width="12" customWidth="1" min="6" max="6"/>
  </cols>
  <sheetData>
    <row r="1">
      <c r="A1" s="8" t="inlineStr">
        <is>
          <t>시간 단위</t>
        </is>
      </c>
      <c r="B1" s="8" t="inlineStr">
        <is>
          <t>ID</t>
        </is>
      </c>
      <c r="C1" s="8" t="inlineStr">
        <is>
          <t>대분류</t>
        </is>
      </c>
      <c r="D1" s="8" t="inlineStr">
        <is>
          <t>세부 작업</t>
        </is>
      </c>
      <c r="E1" s="8" t="inlineStr">
        <is>
          <t>월 소요(h)</t>
        </is>
      </c>
      <c r="F1" s="8" t="inlineStr">
        <is>
          <t>AI 활용 가능성</t>
        </is>
      </c>
    </row>
    <row r="2">
      <c r="A2" s="9" t="inlineStr">
        <is>
          <t>일간</t>
        </is>
      </c>
      <c r="B2" s="19">
        <f>업무분해!A13</f>
        <v/>
      </c>
      <c r="C2" s="20">
        <f>업무분해!B13</f>
        <v/>
      </c>
      <c r="D2" s="20">
        <f>업무분해!D13</f>
        <v/>
      </c>
      <c r="E2" s="21">
        <f>업무분해!I13</f>
        <v/>
      </c>
      <c r="F2" s="19">
        <f>업무분해!P13</f>
        <v/>
      </c>
    </row>
    <row r="3">
      <c r="A3" s="9" t="inlineStr">
        <is>
          <t>일간</t>
        </is>
      </c>
      <c r="B3" s="19">
        <f>업무분해!A14</f>
        <v/>
      </c>
      <c r="C3" s="20">
        <f>업무분해!B14</f>
        <v/>
      </c>
      <c r="D3" s="20">
        <f>업무분해!D14</f>
        <v/>
      </c>
      <c r="E3" s="21">
        <f>업무분해!I14</f>
        <v/>
      </c>
      <c r="F3" s="19">
        <f>업무분해!P14</f>
        <v/>
      </c>
    </row>
    <row r="4">
      <c r="A4" s="9" t="inlineStr">
        <is>
          <t>일간</t>
        </is>
      </c>
      <c r="B4" s="19">
        <f>업무분해!A15</f>
        <v/>
      </c>
      <c r="C4" s="20">
        <f>업무분해!B15</f>
        <v/>
      </c>
      <c r="D4" s="20">
        <f>업무분해!D15</f>
        <v/>
      </c>
      <c r="E4" s="21">
        <f>업무분해!I15</f>
        <v/>
      </c>
      <c r="F4" s="19">
        <f>업무분해!P15</f>
        <v/>
      </c>
    </row>
    <row r="5">
      <c r="A5" s="9" t="inlineStr">
        <is>
          <t>일간</t>
        </is>
      </c>
      <c r="B5" s="19">
        <f>업무분해!A16</f>
        <v/>
      </c>
      <c r="C5" s="20">
        <f>업무분해!B16</f>
        <v/>
      </c>
      <c r="D5" s="20">
        <f>업무분해!D16</f>
        <v/>
      </c>
      <c r="E5" s="21">
        <f>업무분해!I16</f>
        <v/>
      </c>
      <c r="F5" s="19">
        <f>업무분해!P16</f>
        <v/>
      </c>
    </row>
    <row r="6">
      <c r="A6" s="9" t="inlineStr">
        <is>
          <t>일간</t>
        </is>
      </c>
      <c r="B6" s="19">
        <f>업무분해!A19</f>
        <v/>
      </c>
      <c r="C6" s="20">
        <f>업무분해!B19</f>
        <v/>
      </c>
      <c r="D6" s="20">
        <f>업무분해!D19</f>
        <v/>
      </c>
      <c r="E6" s="21">
        <f>업무분해!I19</f>
        <v/>
      </c>
      <c r="F6" s="19">
        <f>업무분해!P19</f>
        <v/>
      </c>
    </row>
    <row r="7">
      <c r="A7" s="9" t="inlineStr">
        <is>
          <t>일간</t>
        </is>
      </c>
      <c r="B7" s="19">
        <f>업무분해!A20</f>
        <v/>
      </c>
      <c r="C7" s="20">
        <f>업무분해!B20</f>
        <v/>
      </c>
      <c r="D7" s="20">
        <f>업무분해!D20</f>
        <v/>
      </c>
      <c r="E7" s="21">
        <f>업무분해!I20</f>
        <v/>
      </c>
      <c r="F7" s="19">
        <f>업무분해!P20</f>
        <v/>
      </c>
    </row>
    <row r="8">
      <c r="A8" s="9" t="inlineStr">
        <is>
          <t>일간</t>
        </is>
      </c>
      <c r="B8" s="19">
        <f>업무분해!A21</f>
        <v/>
      </c>
      <c r="C8" s="20">
        <f>업무분해!B21</f>
        <v/>
      </c>
      <c r="D8" s="20">
        <f>업무분해!D21</f>
        <v/>
      </c>
      <c r="E8" s="21">
        <f>업무분해!I21</f>
        <v/>
      </c>
      <c r="F8" s="19">
        <f>업무분해!P21</f>
        <v/>
      </c>
    </row>
    <row r="9">
      <c r="A9" s="9" t="inlineStr">
        <is>
          <t>일간</t>
        </is>
      </c>
      <c r="B9" s="19">
        <f>업무분해!A33</f>
        <v/>
      </c>
      <c r="C9" s="20">
        <f>업무분해!B33</f>
        <v/>
      </c>
      <c r="D9" s="20">
        <f>업무분해!D33</f>
        <v/>
      </c>
      <c r="E9" s="21">
        <f>업무분해!I33</f>
        <v/>
      </c>
      <c r="F9" s="19">
        <f>업무분해!P33</f>
        <v/>
      </c>
    </row>
    <row r="10">
      <c r="A10" s="9" t="inlineStr">
        <is>
          <t>일간</t>
        </is>
      </c>
      <c r="B10" s="19">
        <f>업무분해!A44</f>
        <v/>
      </c>
      <c r="C10" s="20">
        <f>업무분해!B44</f>
        <v/>
      </c>
      <c r="D10" s="20">
        <f>업무분해!D44</f>
        <v/>
      </c>
      <c r="E10" s="21">
        <f>업무분해!I44</f>
        <v/>
      </c>
      <c r="F10" s="19">
        <f>업무분해!P44</f>
        <v/>
      </c>
    </row>
    <row r="11">
      <c r="A11" s="22" t="n"/>
      <c r="B11" s="22" t="n"/>
      <c r="C11" s="22" t="n"/>
      <c r="D11" s="22" t="inlineStr">
        <is>
          <t>일간 소계</t>
        </is>
      </c>
      <c r="E11" s="23">
        <f>SUMIF(A2:A10,"일간",E2:E10)</f>
        <v/>
      </c>
      <c r="F11" s="22" t="n"/>
    </row>
    <row r="12">
      <c r="A12" s="9" t="inlineStr">
        <is>
          <t>주간</t>
        </is>
      </c>
      <c r="B12" s="19">
        <f>업무분해!A3</f>
        <v/>
      </c>
      <c r="C12" s="20">
        <f>업무분해!B3</f>
        <v/>
      </c>
      <c r="D12" s="20">
        <f>업무분해!D3</f>
        <v/>
      </c>
      <c r="E12" s="21">
        <f>업무분해!I3</f>
        <v/>
      </c>
      <c r="F12" s="19">
        <f>업무분해!P3</f>
        <v/>
      </c>
    </row>
    <row r="13">
      <c r="A13" s="9" t="inlineStr">
        <is>
          <t>주간</t>
        </is>
      </c>
      <c r="B13" s="19">
        <f>업무분해!A4</f>
        <v/>
      </c>
      <c r="C13" s="20">
        <f>업무분해!B4</f>
        <v/>
      </c>
      <c r="D13" s="20">
        <f>업무분해!D4</f>
        <v/>
      </c>
      <c r="E13" s="21">
        <f>업무분해!I4</f>
        <v/>
      </c>
      <c r="F13" s="19">
        <f>업무분해!P4</f>
        <v/>
      </c>
    </row>
    <row r="14">
      <c r="A14" s="9" t="inlineStr">
        <is>
          <t>주간</t>
        </is>
      </c>
      <c r="B14" s="19">
        <f>업무분해!A5</f>
        <v/>
      </c>
      <c r="C14" s="20">
        <f>업무분해!B5</f>
        <v/>
      </c>
      <c r="D14" s="20">
        <f>업무분해!D5</f>
        <v/>
      </c>
      <c r="E14" s="21">
        <f>업무분해!I5</f>
        <v/>
      </c>
      <c r="F14" s="19">
        <f>업무분해!P5</f>
        <v/>
      </c>
    </row>
    <row r="15">
      <c r="A15" s="9" t="inlineStr">
        <is>
          <t>주간</t>
        </is>
      </c>
      <c r="B15" s="19">
        <f>업무분해!A30</f>
        <v/>
      </c>
      <c r="C15" s="20">
        <f>업무분해!B30</f>
        <v/>
      </c>
      <c r="D15" s="20">
        <f>업무분해!D30</f>
        <v/>
      </c>
      <c r="E15" s="21">
        <f>업무분해!I30</f>
        <v/>
      </c>
      <c r="F15" s="19">
        <f>업무분해!P30</f>
        <v/>
      </c>
    </row>
    <row r="16">
      <c r="A16" s="9" t="inlineStr">
        <is>
          <t>주간</t>
        </is>
      </c>
      <c r="B16" s="19">
        <f>업무분해!A31</f>
        <v/>
      </c>
      <c r="C16" s="20">
        <f>업무분해!B31</f>
        <v/>
      </c>
      <c r="D16" s="20">
        <f>업무분해!D31</f>
        <v/>
      </c>
      <c r="E16" s="21">
        <f>업무분해!I31</f>
        <v/>
      </c>
      <c r="F16" s="19">
        <f>업무분해!P31</f>
        <v/>
      </c>
    </row>
    <row r="17">
      <c r="A17" s="22" t="n"/>
      <c r="B17" s="22" t="n"/>
      <c r="C17" s="22" t="n"/>
      <c r="D17" s="22" t="inlineStr">
        <is>
          <t>주간 소계</t>
        </is>
      </c>
      <c r="E17" s="23">
        <f>SUMIF(A2:A16,"주간",E2:E16)</f>
        <v/>
      </c>
      <c r="F17" s="22" t="n"/>
    </row>
    <row r="18">
      <c r="A18" s="9" t="inlineStr">
        <is>
          <t>프로젝트 단계별</t>
        </is>
      </c>
      <c r="B18" s="19">
        <f>업무분해!A2</f>
        <v/>
      </c>
      <c r="C18" s="20">
        <f>업무분해!B2</f>
        <v/>
      </c>
      <c r="D18" s="20">
        <f>업무분해!D2</f>
        <v/>
      </c>
      <c r="E18" s="21">
        <f>업무분해!I2</f>
        <v/>
      </c>
      <c r="F18" s="19">
        <f>업무분해!P2</f>
        <v/>
      </c>
    </row>
    <row r="19">
      <c r="A19" s="9" t="inlineStr">
        <is>
          <t>프로젝트 단계별</t>
        </is>
      </c>
      <c r="B19" s="19">
        <f>업무분해!A6</f>
        <v/>
      </c>
      <c r="C19" s="20">
        <f>업무분해!B6</f>
        <v/>
      </c>
      <c r="D19" s="20">
        <f>업무분해!D6</f>
        <v/>
      </c>
      <c r="E19" s="21">
        <f>업무분해!I6</f>
        <v/>
      </c>
      <c r="F19" s="19">
        <f>업무분해!P6</f>
        <v/>
      </c>
    </row>
    <row r="20">
      <c r="A20" s="9" t="inlineStr">
        <is>
          <t>프로젝트 단계별</t>
        </is>
      </c>
      <c r="B20" s="19">
        <f>업무분해!A7</f>
        <v/>
      </c>
      <c r="C20" s="20">
        <f>업무분해!B7</f>
        <v/>
      </c>
      <c r="D20" s="20">
        <f>업무분해!D7</f>
        <v/>
      </c>
      <c r="E20" s="21">
        <f>업무분해!I7</f>
        <v/>
      </c>
      <c r="F20" s="19">
        <f>업무분해!P7</f>
        <v/>
      </c>
    </row>
    <row r="21">
      <c r="A21" s="9" t="inlineStr">
        <is>
          <t>프로젝트 단계별</t>
        </is>
      </c>
      <c r="B21" s="19">
        <f>업무분해!A8</f>
        <v/>
      </c>
      <c r="C21" s="20">
        <f>업무분해!B8</f>
        <v/>
      </c>
      <c r="D21" s="20">
        <f>업무분해!D8</f>
        <v/>
      </c>
      <c r="E21" s="21">
        <f>업무분해!I8</f>
        <v/>
      </c>
      <c r="F21" s="19">
        <f>업무분해!P8</f>
        <v/>
      </c>
    </row>
    <row r="22">
      <c r="A22" s="9" t="inlineStr">
        <is>
          <t>프로젝트 단계별</t>
        </is>
      </c>
      <c r="B22" s="19">
        <f>업무분해!A17</f>
        <v/>
      </c>
      <c r="C22" s="20">
        <f>업무분해!B17</f>
        <v/>
      </c>
      <c r="D22" s="20">
        <f>업무분해!D17</f>
        <v/>
      </c>
      <c r="E22" s="21">
        <f>업무분해!I17</f>
        <v/>
      </c>
      <c r="F22" s="19">
        <f>업무분해!P17</f>
        <v/>
      </c>
    </row>
    <row r="23">
      <c r="A23" s="9" t="inlineStr">
        <is>
          <t>프로젝트 단계별</t>
        </is>
      </c>
      <c r="B23" s="19">
        <f>업무분해!A22</f>
        <v/>
      </c>
      <c r="C23" s="20">
        <f>업무분해!B22</f>
        <v/>
      </c>
      <c r="D23" s="20">
        <f>업무분해!D22</f>
        <v/>
      </c>
      <c r="E23" s="21">
        <f>업무분해!I22</f>
        <v/>
      </c>
      <c r="F23" s="19">
        <f>업무분해!P22</f>
        <v/>
      </c>
    </row>
    <row r="24">
      <c r="A24" s="9" t="inlineStr">
        <is>
          <t>프로젝트 단계별</t>
        </is>
      </c>
      <c r="B24" s="19">
        <f>업무분해!A23</f>
        <v/>
      </c>
      <c r="C24" s="20">
        <f>업무분해!B23</f>
        <v/>
      </c>
      <c r="D24" s="20">
        <f>업무분해!D23</f>
        <v/>
      </c>
      <c r="E24" s="21">
        <f>업무분해!I23</f>
        <v/>
      </c>
      <c r="F24" s="19">
        <f>업무분해!P23</f>
        <v/>
      </c>
    </row>
    <row r="25">
      <c r="A25" s="9" t="inlineStr">
        <is>
          <t>프로젝트 단계별</t>
        </is>
      </c>
      <c r="B25" s="19">
        <f>업무분해!A24</f>
        <v/>
      </c>
      <c r="C25" s="20">
        <f>업무분해!B24</f>
        <v/>
      </c>
      <c r="D25" s="20">
        <f>업무분해!D24</f>
        <v/>
      </c>
      <c r="E25" s="21">
        <f>업무분해!I24</f>
        <v/>
      </c>
      <c r="F25" s="19">
        <f>업무분해!P24</f>
        <v/>
      </c>
    </row>
    <row r="26">
      <c r="A26" s="9" t="inlineStr">
        <is>
          <t>프로젝트 단계별</t>
        </is>
      </c>
      <c r="B26" s="19">
        <f>업무분해!A26</f>
        <v/>
      </c>
      <c r="C26" s="20">
        <f>업무분해!B26</f>
        <v/>
      </c>
      <c r="D26" s="20">
        <f>업무분해!D26</f>
        <v/>
      </c>
      <c r="E26" s="21">
        <f>업무분해!I26</f>
        <v/>
      </c>
      <c r="F26" s="19">
        <f>업무분해!P26</f>
        <v/>
      </c>
    </row>
    <row r="27">
      <c r="A27" s="9" t="inlineStr">
        <is>
          <t>프로젝트 단계별</t>
        </is>
      </c>
      <c r="B27" s="19">
        <f>업무분해!A27</f>
        <v/>
      </c>
      <c r="C27" s="20">
        <f>업무분해!B27</f>
        <v/>
      </c>
      <c r="D27" s="20">
        <f>업무분해!D27</f>
        <v/>
      </c>
      <c r="E27" s="21">
        <f>업무분해!I27</f>
        <v/>
      </c>
      <c r="F27" s="19">
        <f>업무분해!P27</f>
        <v/>
      </c>
    </row>
    <row r="28">
      <c r="A28" s="9" t="inlineStr">
        <is>
          <t>프로젝트 단계별</t>
        </is>
      </c>
      <c r="B28" s="19">
        <f>업무분해!A28</f>
        <v/>
      </c>
      <c r="C28" s="20">
        <f>업무분해!B28</f>
        <v/>
      </c>
      <c r="D28" s="20">
        <f>업무분해!D28</f>
        <v/>
      </c>
      <c r="E28" s="21">
        <f>업무분해!I28</f>
        <v/>
      </c>
      <c r="F28" s="19">
        <f>업무분해!P28</f>
        <v/>
      </c>
    </row>
    <row r="29">
      <c r="A29" s="9" t="inlineStr">
        <is>
          <t>프로젝트 단계별</t>
        </is>
      </c>
      <c r="B29" s="19">
        <f>업무분해!A29</f>
        <v/>
      </c>
      <c r="C29" s="20">
        <f>업무분해!B29</f>
        <v/>
      </c>
      <c r="D29" s="20">
        <f>업무분해!D29</f>
        <v/>
      </c>
      <c r="E29" s="21">
        <f>업무분해!I29</f>
        <v/>
      </c>
      <c r="F29" s="19">
        <f>업무분해!P29</f>
        <v/>
      </c>
    </row>
    <row r="30">
      <c r="A30" s="9" t="inlineStr">
        <is>
          <t>프로젝트 단계별</t>
        </is>
      </c>
      <c r="B30" s="19">
        <f>업무분해!A34</f>
        <v/>
      </c>
      <c r="C30" s="20">
        <f>업무분해!B34</f>
        <v/>
      </c>
      <c r="D30" s="20">
        <f>업무분해!D34</f>
        <v/>
      </c>
      <c r="E30" s="21">
        <f>업무분해!I34</f>
        <v/>
      </c>
      <c r="F30" s="19">
        <f>업무분해!P34</f>
        <v/>
      </c>
    </row>
    <row r="31">
      <c r="A31" s="9" t="inlineStr">
        <is>
          <t>프로젝트 단계별</t>
        </is>
      </c>
      <c r="B31" s="19">
        <f>업무분해!A35</f>
        <v/>
      </c>
      <c r="C31" s="20">
        <f>업무분해!B35</f>
        <v/>
      </c>
      <c r="D31" s="20">
        <f>업무분해!D35</f>
        <v/>
      </c>
      <c r="E31" s="21">
        <f>업무분해!I35</f>
        <v/>
      </c>
      <c r="F31" s="19">
        <f>업무분해!P35</f>
        <v/>
      </c>
    </row>
    <row r="32">
      <c r="A32" s="9" t="inlineStr">
        <is>
          <t>프로젝트 단계별</t>
        </is>
      </c>
      <c r="B32" s="19">
        <f>업무분해!A36</f>
        <v/>
      </c>
      <c r="C32" s="20">
        <f>업무분해!B36</f>
        <v/>
      </c>
      <c r="D32" s="20">
        <f>업무분해!D36</f>
        <v/>
      </c>
      <c r="E32" s="21">
        <f>업무분해!I36</f>
        <v/>
      </c>
      <c r="F32" s="19">
        <f>업무분해!P36</f>
        <v/>
      </c>
    </row>
    <row r="33">
      <c r="A33" s="9" t="inlineStr">
        <is>
          <t>프로젝트 단계별</t>
        </is>
      </c>
      <c r="B33" s="19">
        <f>업무분해!A41</f>
        <v/>
      </c>
      <c r="C33" s="20">
        <f>업무분해!B41</f>
        <v/>
      </c>
      <c r="D33" s="20">
        <f>업무분해!D41</f>
        <v/>
      </c>
      <c r="E33" s="21">
        <f>업무분해!I41</f>
        <v/>
      </c>
      <c r="F33" s="19">
        <f>업무분해!P41</f>
        <v/>
      </c>
    </row>
    <row r="34">
      <c r="A34" s="22" t="n"/>
      <c r="B34" s="22" t="n"/>
      <c r="C34" s="22" t="n"/>
      <c r="D34" s="22" t="inlineStr">
        <is>
          <t>프로젝트 단계별 소계</t>
        </is>
      </c>
      <c r="E34" s="23">
        <f>SUMIF(A2:A33,"프로젝트 단계별",E2:E33)</f>
        <v/>
      </c>
      <c r="F34" s="22" t="n"/>
    </row>
    <row r="35">
      <c r="A35" s="9" t="inlineStr">
        <is>
          <t>비정기</t>
        </is>
      </c>
      <c r="B35" s="19">
        <f>업무분해!A9</f>
        <v/>
      </c>
      <c r="C35" s="20">
        <f>업무분해!B9</f>
        <v/>
      </c>
      <c r="D35" s="20">
        <f>업무분해!D9</f>
        <v/>
      </c>
      <c r="E35" s="21">
        <f>업무분해!I9</f>
        <v/>
      </c>
      <c r="F35" s="19">
        <f>업무분해!P9</f>
        <v/>
      </c>
    </row>
    <row r="36">
      <c r="A36" s="9" t="inlineStr">
        <is>
          <t>비정기</t>
        </is>
      </c>
      <c r="B36" s="19">
        <f>업무분해!A10</f>
        <v/>
      </c>
      <c r="C36" s="20">
        <f>업무분해!B10</f>
        <v/>
      </c>
      <c r="D36" s="20">
        <f>업무분해!D10</f>
        <v/>
      </c>
      <c r="E36" s="21">
        <f>업무분해!I10</f>
        <v/>
      </c>
      <c r="F36" s="19">
        <f>업무분해!P10</f>
        <v/>
      </c>
    </row>
    <row r="37">
      <c r="A37" s="9" t="inlineStr">
        <is>
          <t>비정기</t>
        </is>
      </c>
      <c r="B37" s="19">
        <f>업무분해!A11</f>
        <v/>
      </c>
      <c r="C37" s="20">
        <f>업무분해!B11</f>
        <v/>
      </c>
      <c r="D37" s="20">
        <f>업무분해!D11</f>
        <v/>
      </c>
      <c r="E37" s="21">
        <f>업무분해!I11</f>
        <v/>
      </c>
      <c r="F37" s="19">
        <f>업무분해!P11</f>
        <v/>
      </c>
    </row>
    <row r="38">
      <c r="A38" s="9" t="inlineStr">
        <is>
          <t>비정기</t>
        </is>
      </c>
      <c r="B38" s="19">
        <f>업무분해!A12</f>
        <v/>
      </c>
      <c r="C38" s="20">
        <f>업무분해!B12</f>
        <v/>
      </c>
      <c r="D38" s="20">
        <f>업무분해!D12</f>
        <v/>
      </c>
      <c r="E38" s="21">
        <f>업무분해!I12</f>
        <v/>
      </c>
      <c r="F38" s="19">
        <f>업무분해!P12</f>
        <v/>
      </c>
    </row>
    <row r="39">
      <c r="A39" s="9" t="inlineStr">
        <is>
          <t>비정기</t>
        </is>
      </c>
      <c r="B39" s="19">
        <f>업무분해!A18</f>
        <v/>
      </c>
      <c r="C39" s="20">
        <f>업무분해!B18</f>
        <v/>
      </c>
      <c r="D39" s="20">
        <f>업무분해!D18</f>
        <v/>
      </c>
      <c r="E39" s="21">
        <f>업무분해!I18</f>
        <v/>
      </c>
      <c r="F39" s="19">
        <f>업무분해!P18</f>
        <v/>
      </c>
    </row>
    <row r="40">
      <c r="A40" s="9" t="inlineStr">
        <is>
          <t>비정기</t>
        </is>
      </c>
      <c r="B40" s="19">
        <f>업무분해!A25</f>
        <v/>
      </c>
      <c r="C40" s="20">
        <f>업무분해!B25</f>
        <v/>
      </c>
      <c r="D40" s="20">
        <f>업무분해!D25</f>
        <v/>
      </c>
      <c r="E40" s="21">
        <f>업무분해!I25</f>
        <v/>
      </c>
      <c r="F40" s="19">
        <f>업무분해!P25</f>
        <v/>
      </c>
    </row>
    <row r="41">
      <c r="A41" s="9" t="inlineStr">
        <is>
          <t>비정기</t>
        </is>
      </c>
      <c r="B41" s="19">
        <f>업무분해!A32</f>
        <v/>
      </c>
      <c r="C41" s="20">
        <f>업무분해!B32</f>
        <v/>
      </c>
      <c r="D41" s="20">
        <f>업무분해!D32</f>
        <v/>
      </c>
      <c r="E41" s="21">
        <f>업무분해!I32</f>
        <v/>
      </c>
      <c r="F41" s="19">
        <f>업무분해!P32</f>
        <v/>
      </c>
    </row>
    <row r="42">
      <c r="A42" s="9" t="inlineStr">
        <is>
          <t>비정기</t>
        </is>
      </c>
      <c r="B42" s="19">
        <f>업무분해!A37</f>
        <v/>
      </c>
      <c r="C42" s="20">
        <f>업무분해!B37</f>
        <v/>
      </c>
      <c r="D42" s="20">
        <f>업무분해!D37</f>
        <v/>
      </c>
      <c r="E42" s="21">
        <f>업무분해!I37</f>
        <v/>
      </c>
      <c r="F42" s="19">
        <f>업무분해!P37</f>
        <v/>
      </c>
    </row>
    <row r="43">
      <c r="A43" s="9" t="inlineStr">
        <is>
          <t>비정기</t>
        </is>
      </c>
      <c r="B43" s="19">
        <f>업무분해!A38</f>
        <v/>
      </c>
      <c r="C43" s="20">
        <f>업무분해!B38</f>
        <v/>
      </c>
      <c r="D43" s="20">
        <f>업무분해!D38</f>
        <v/>
      </c>
      <c r="E43" s="21">
        <f>업무분해!I38</f>
        <v/>
      </c>
      <c r="F43" s="19">
        <f>업무분해!P38</f>
        <v/>
      </c>
    </row>
    <row r="44">
      <c r="A44" s="9" t="inlineStr">
        <is>
          <t>비정기</t>
        </is>
      </c>
      <c r="B44" s="19">
        <f>업무분해!A39</f>
        <v/>
      </c>
      <c r="C44" s="20">
        <f>업무분해!B39</f>
        <v/>
      </c>
      <c r="D44" s="20">
        <f>업무분해!D39</f>
        <v/>
      </c>
      <c r="E44" s="21">
        <f>업무분해!I39</f>
        <v/>
      </c>
      <c r="F44" s="19">
        <f>업무분해!P39</f>
        <v/>
      </c>
    </row>
    <row r="45">
      <c r="A45" s="9" t="inlineStr">
        <is>
          <t>비정기</t>
        </is>
      </c>
      <c r="B45" s="19">
        <f>업무분해!A40</f>
        <v/>
      </c>
      <c r="C45" s="20">
        <f>업무분해!B40</f>
        <v/>
      </c>
      <c r="D45" s="20">
        <f>업무분해!D40</f>
        <v/>
      </c>
      <c r="E45" s="21">
        <f>업무분해!I40</f>
        <v/>
      </c>
      <c r="F45" s="19">
        <f>업무분해!P40</f>
        <v/>
      </c>
    </row>
    <row r="46">
      <c r="A46" s="9" t="inlineStr">
        <is>
          <t>비정기</t>
        </is>
      </c>
      <c r="B46" s="19">
        <f>업무분해!A42</f>
        <v/>
      </c>
      <c r="C46" s="20">
        <f>업무분해!B42</f>
        <v/>
      </c>
      <c r="D46" s="20">
        <f>업무분해!D42</f>
        <v/>
      </c>
      <c r="E46" s="21">
        <f>업무분해!I42</f>
        <v/>
      </c>
      <c r="F46" s="19">
        <f>업무분해!P42</f>
        <v/>
      </c>
    </row>
    <row r="47">
      <c r="A47" s="9" t="inlineStr">
        <is>
          <t>비정기</t>
        </is>
      </c>
      <c r="B47" s="19">
        <f>업무분해!A43</f>
        <v/>
      </c>
      <c r="C47" s="20">
        <f>업무분해!B43</f>
        <v/>
      </c>
      <c r="D47" s="20">
        <f>업무분해!D43</f>
        <v/>
      </c>
      <c r="E47" s="21">
        <f>업무분해!I43</f>
        <v/>
      </c>
      <c r="F47" s="19">
        <f>업무분해!P43</f>
        <v/>
      </c>
    </row>
    <row r="48">
      <c r="A48" s="9" t="inlineStr">
        <is>
          <t>비정기</t>
        </is>
      </c>
      <c r="B48" s="19">
        <f>업무분해!A45</f>
        <v/>
      </c>
      <c r="C48" s="20">
        <f>업무분해!B45</f>
        <v/>
      </c>
      <c r="D48" s="20">
        <f>업무분해!D45</f>
        <v/>
      </c>
      <c r="E48" s="21">
        <f>업무분해!I45</f>
        <v/>
      </c>
      <c r="F48" s="19">
        <f>업무분해!P45</f>
        <v/>
      </c>
    </row>
    <row r="49">
      <c r="A49" s="22" t="n"/>
      <c r="B49" s="22" t="n"/>
      <c r="C49" s="22" t="n"/>
      <c r="D49" s="22" t="inlineStr">
        <is>
          <t>비정기 소계</t>
        </is>
      </c>
      <c r="E49" s="23">
        <f>SUMIF(A2:A48,"비정기",E2:E48)</f>
        <v/>
      </c>
      <c r="F49" s="2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</cols>
  <sheetData>
    <row r="1">
      <c r="A1" s="24" t="inlineStr">
        <is>
          <t>업무 요약 (업무분해 시트 기준 자동 집계)</t>
        </is>
      </c>
    </row>
    <row r="2"/>
    <row r="3">
      <c r="A3" s="25" t="inlineStr">
        <is>
          <t>전체 월 소요(h)</t>
        </is>
      </c>
      <c r="B3" s="26">
        <f>SUM(업무분해!I2:I45)</f>
        <v/>
      </c>
      <c r="C3" s="25" t="inlineStr">
        <is>
          <t>전체 작업 수</t>
        </is>
      </c>
      <c r="D3" s="25">
        <f>COUNTA(업무분해!A2:A45)</f>
        <v/>
      </c>
    </row>
    <row r="4"/>
    <row r="5"/>
    <row r="6">
      <c r="A6" s="27" t="inlineStr">
        <is>
          <t>대분류별 업무</t>
        </is>
      </c>
    </row>
    <row r="7">
      <c r="A7" s="28" t="inlineStr">
        <is>
          <t>대분류별</t>
        </is>
      </c>
      <c r="B7" s="28" t="inlineStr">
        <is>
          <t>작업 수</t>
        </is>
      </c>
      <c r="C7" s="28" t="inlineStr">
        <is>
          <t>월 소요(h)</t>
        </is>
      </c>
      <c r="D7" s="28" t="inlineStr">
        <is>
          <t>시간 비중</t>
        </is>
      </c>
    </row>
    <row r="8">
      <c r="A8" s="10" t="inlineStr">
        <is>
          <t>프로젝트 관리</t>
        </is>
      </c>
      <c r="B8" s="9">
        <f>COUNTIF(업무분해!$B$2:$B$45,A8)</f>
        <v/>
      </c>
      <c r="C8" s="13">
        <f>SUMIF(업무분해!$B$2:$B$45,A8,업무분해!$I$2:$I$45)</f>
        <v/>
      </c>
      <c r="D8" s="29">
        <f>IFERROR(C8/$B$3,0)</f>
        <v/>
      </c>
    </row>
    <row r="9">
      <c r="A9" s="10" t="inlineStr">
        <is>
          <t>프로젝트 셋업</t>
        </is>
      </c>
      <c r="B9" s="9">
        <f>COUNTIF(업무분해!$B$2:$B$45,A9)</f>
        <v/>
      </c>
      <c r="C9" s="13">
        <f>SUMIF(업무분해!$B$2:$B$45,A9,업무분해!$I$2:$I$45)</f>
        <v/>
      </c>
      <c r="D9" s="29">
        <f>IFERROR(C9/$B$3,0)</f>
        <v/>
      </c>
    </row>
    <row r="10">
      <c r="A10" s="10" t="inlineStr">
        <is>
          <t>개발 구현</t>
        </is>
      </c>
      <c r="B10" s="9">
        <f>COUNTIF(업무분해!$B$2:$B$45,A10)</f>
        <v/>
      </c>
      <c r="C10" s="13">
        <f>SUMIF(업무분해!$B$2:$B$45,A10,업무분해!$I$2:$I$45)</f>
        <v/>
      </c>
      <c r="D10" s="29">
        <f>IFERROR(C10/$B$3,0)</f>
        <v/>
      </c>
    </row>
    <row r="11">
      <c r="A11" s="10" t="inlineStr">
        <is>
          <t>피드백·QA</t>
        </is>
      </c>
      <c r="B11" s="9">
        <f>COUNTIF(업무분해!$B$2:$B$45,A11)</f>
        <v/>
      </c>
      <c r="C11" s="13">
        <f>SUMIF(업무분해!$B$2:$B$45,A11,업무분해!$I$2:$I$45)</f>
        <v/>
      </c>
      <c r="D11" s="29">
        <f>IFERROR(C11/$B$3,0)</f>
        <v/>
      </c>
    </row>
    <row r="12">
      <c r="A12" s="10" t="inlineStr">
        <is>
          <t>사운드 연동</t>
        </is>
      </c>
      <c r="B12" s="9">
        <f>COUNTIF(업무분해!$B$2:$B$45,A12)</f>
        <v/>
      </c>
      <c r="C12" s="13">
        <f>SUMIF(업무분해!$B$2:$B$45,A12,업무분해!$I$2:$I$45)</f>
        <v/>
      </c>
      <c r="D12" s="29">
        <f>IFERROR(C12/$B$3,0)</f>
        <v/>
      </c>
    </row>
    <row r="13">
      <c r="A13" s="10" t="inlineStr">
        <is>
          <t>빌드·배포</t>
        </is>
      </c>
      <c r="B13" s="9">
        <f>COUNTIF(업무분해!$B$2:$B$45,A13)</f>
        <v/>
      </c>
      <c r="C13" s="13">
        <f>SUMIF(업무분해!$B$2:$B$45,A13,업무분해!$I$2:$I$45)</f>
        <v/>
      </c>
      <c r="D13" s="29">
        <f>IFERROR(C13/$B$3,0)</f>
        <v/>
      </c>
    </row>
    <row r="14">
      <c r="A14" s="10" t="inlineStr">
        <is>
          <t>다국어</t>
        </is>
      </c>
      <c r="B14" s="9">
        <f>COUNTIF(업무분해!$B$2:$B$45,A14)</f>
        <v/>
      </c>
      <c r="C14" s="13">
        <f>SUMIF(업무분해!$B$2:$B$45,A14,업무분해!$I$2:$I$45)</f>
        <v/>
      </c>
      <c r="D14" s="29">
        <f>IFERROR(C14/$B$3,0)</f>
        <v/>
      </c>
    </row>
    <row r="15">
      <c r="A15" s="10" t="inlineStr">
        <is>
          <t>출시·스토어</t>
        </is>
      </c>
      <c r="B15" s="9">
        <f>COUNTIF(업무분해!$B$2:$B$45,A15)</f>
        <v/>
      </c>
      <c r="C15" s="13">
        <f>SUMIF(업무분해!$B$2:$B$45,A15,업무분해!$I$2:$I$45)</f>
        <v/>
      </c>
      <c r="D15" s="29">
        <f>IFERROR(C15/$B$3,0)</f>
        <v/>
      </c>
    </row>
    <row r="16">
      <c r="A16" s="10" t="inlineStr">
        <is>
          <t>유지보수</t>
        </is>
      </c>
      <c r="B16" s="9">
        <f>COUNTIF(업무분해!$B$2:$B$45,A16)</f>
        <v/>
      </c>
      <c r="C16" s="13">
        <f>SUMIF(업무분해!$B$2:$B$45,A16,업무분해!$I$2:$I$45)</f>
        <v/>
      </c>
      <c r="D16" s="29">
        <f>IFERROR(C16/$B$3,0)</f>
        <v/>
      </c>
    </row>
    <row r="17">
      <c r="A17" s="10" t="inlineStr">
        <is>
          <t>커뮤니케이션</t>
        </is>
      </c>
      <c r="B17" s="9">
        <f>COUNTIF(업무분해!$B$2:$B$45,A17)</f>
        <v/>
      </c>
      <c r="C17" s="13">
        <f>SUMIF(업무분해!$B$2:$B$45,A17,업무분해!$I$2:$I$45)</f>
        <v/>
      </c>
      <c r="D17" s="29">
        <f>IFERROR(C17/$B$3,0)</f>
        <v/>
      </c>
    </row>
    <row r="18">
      <c r="A18" s="30" t="inlineStr">
        <is>
          <t>합계</t>
        </is>
      </c>
      <c r="B18" s="31">
        <f>SUM(B8:B17)</f>
        <v/>
      </c>
      <c r="C18" s="32">
        <f>SUM(C8:C17)</f>
        <v/>
      </c>
      <c r="D18" s="33">
        <f>SUM(D8:D17)</f>
        <v/>
      </c>
    </row>
    <row r="19"/>
    <row r="20">
      <c r="A20" s="27" t="inlineStr">
        <is>
          <t>시간단위별 업무</t>
        </is>
      </c>
    </row>
    <row r="21">
      <c r="A21" s="28" t="inlineStr">
        <is>
          <t>시간단위별</t>
        </is>
      </c>
      <c r="B21" s="28" t="inlineStr">
        <is>
          <t>작업 수</t>
        </is>
      </c>
      <c r="C21" s="28" t="inlineStr">
        <is>
          <t>월 소요(h)</t>
        </is>
      </c>
      <c r="D21" s="28" t="inlineStr">
        <is>
          <t>시간 비중</t>
        </is>
      </c>
    </row>
    <row r="22">
      <c r="A22" s="10" t="inlineStr">
        <is>
          <t>일간</t>
        </is>
      </c>
      <c r="B22" s="9">
        <f>COUNTIF(업무분해!$F$2:$F$45,A22)</f>
        <v/>
      </c>
      <c r="C22" s="13">
        <f>SUMIF(업무분해!$F$2:$F$45,A22,업무분해!$I$2:$I$45)</f>
        <v/>
      </c>
      <c r="D22" s="29">
        <f>IFERROR(C22/$B$3,0)</f>
        <v/>
      </c>
    </row>
    <row r="23">
      <c r="A23" s="10" t="inlineStr">
        <is>
          <t>주간</t>
        </is>
      </c>
      <c r="B23" s="9">
        <f>COUNTIF(업무분해!$F$2:$F$45,A23)</f>
        <v/>
      </c>
      <c r="C23" s="13">
        <f>SUMIF(업무분해!$F$2:$F$45,A23,업무분해!$I$2:$I$45)</f>
        <v/>
      </c>
      <c r="D23" s="29">
        <f>IFERROR(C23/$B$3,0)</f>
        <v/>
      </c>
    </row>
    <row r="24">
      <c r="A24" s="10" t="inlineStr">
        <is>
          <t>프로젝트 단계별</t>
        </is>
      </c>
      <c r="B24" s="9">
        <f>COUNTIF(업무분해!$F$2:$F$45,A24)</f>
        <v/>
      </c>
      <c r="C24" s="13">
        <f>SUMIF(업무분해!$F$2:$F$45,A24,업무분해!$I$2:$I$45)</f>
        <v/>
      </c>
      <c r="D24" s="29">
        <f>IFERROR(C24/$B$3,0)</f>
        <v/>
      </c>
    </row>
    <row r="25">
      <c r="A25" s="10" t="inlineStr">
        <is>
          <t>비정기</t>
        </is>
      </c>
      <c r="B25" s="9">
        <f>COUNTIF(업무분해!$F$2:$F$45,A25)</f>
        <v/>
      </c>
      <c r="C25" s="13">
        <f>SUMIF(업무분해!$F$2:$F$45,A25,업무분해!$I$2:$I$45)</f>
        <v/>
      </c>
      <c r="D25" s="29">
        <f>IFERROR(C25/$B$3,0)</f>
        <v/>
      </c>
    </row>
    <row r="26">
      <c r="A26" s="30" t="inlineStr">
        <is>
          <t>합계</t>
        </is>
      </c>
      <c r="B26" s="31">
        <f>SUM(B22:B25)</f>
        <v/>
      </c>
      <c r="C26" s="32">
        <f>SUM(C22:C25)</f>
        <v/>
      </c>
      <c r="D26" s="33">
        <f>SUM(D22:D25)</f>
        <v/>
      </c>
    </row>
    <row r="27"/>
    <row r="28">
      <c r="A28" s="27" t="inlineStr">
        <is>
          <t>AI활용가능성별 업무</t>
        </is>
      </c>
    </row>
    <row r="29">
      <c r="A29" s="28" t="inlineStr">
        <is>
          <t>AI활용가능성별</t>
        </is>
      </c>
      <c r="B29" s="28" t="inlineStr">
        <is>
          <t>작업 수</t>
        </is>
      </c>
      <c r="C29" s="28" t="inlineStr">
        <is>
          <t>월 소요(h)</t>
        </is>
      </c>
      <c r="D29" s="28" t="inlineStr">
        <is>
          <t>시간 비중</t>
        </is>
      </c>
    </row>
    <row r="30">
      <c r="A30" s="10" t="inlineStr">
        <is>
          <t>상</t>
        </is>
      </c>
      <c r="B30" s="9">
        <f>COUNTIF(업무분해!$P$2:$P$45,A30)</f>
        <v/>
      </c>
      <c r="C30" s="13">
        <f>SUMIF(업무분해!$P$2:$P$45,A30,업무분해!$I$2:$I$45)</f>
        <v/>
      </c>
      <c r="D30" s="29">
        <f>IFERROR(C30/$B$3,0)</f>
        <v/>
      </c>
    </row>
    <row r="31">
      <c r="A31" s="10" t="inlineStr">
        <is>
          <t>중</t>
        </is>
      </c>
      <c r="B31" s="9">
        <f>COUNTIF(업무분해!$P$2:$P$45,A31)</f>
        <v/>
      </c>
      <c r="C31" s="13">
        <f>SUMIF(업무분해!$P$2:$P$45,A31,업무분해!$I$2:$I$45)</f>
        <v/>
      </c>
      <c r="D31" s="29">
        <f>IFERROR(C31/$B$3,0)</f>
        <v/>
      </c>
    </row>
    <row r="32">
      <c r="A32" s="10" t="inlineStr">
        <is>
          <t>하</t>
        </is>
      </c>
      <c r="B32" s="9">
        <f>COUNTIF(업무분해!$P$2:$P$45,A32)</f>
        <v/>
      </c>
      <c r="C32" s="13">
        <f>SUMIF(업무분해!$P$2:$P$45,A32,업무분해!$I$2:$I$45)</f>
        <v/>
      </c>
      <c r="D32" s="29">
        <f>IFERROR(C32/$B$3,0)</f>
        <v/>
      </c>
    </row>
    <row r="33">
      <c r="A33" s="30" t="inlineStr">
        <is>
          <t>합계</t>
        </is>
      </c>
      <c r="B33" s="31">
        <f>SUM(B30:B32)</f>
        <v/>
      </c>
      <c r="C33" s="32">
        <f>SUM(C30:C32)</f>
        <v/>
      </c>
      <c r="D33" s="33">
        <f>SUM(D30:D32)</f>
        <v/>
      </c>
    </row>
    <row r="34"/>
    <row r="35">
      <c r="A35" s="25" t="inlineStr">
        <is>
          <t>불편 업무 ★ 월 소요(h)</t>
        </is>
      </c>
      <c r="C35" s="26">
        <f>SUMIF(업무분해!O2:O45,"★",업무분해!I2:I45)</f>
        <v/>
      </c>
    </row>
    <row r="36"/>
    <row r="37">
      <c r="A37" s="18" t="inlineStr">
        <is>
          <t>※ 월 소요 시간은 '업무분해' 시트의 노란 칸(추정값)으로 계산합니다. 실제 값으로 고치면 자동으로 다시 계산됩니다.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32" customWidth="1" min="4" max="4"/>
    <col width="46" customWidth="1" min="5" max="5"/>
    <col width="32" customWidth="1" min="6" max="6"/>
    <col width="8" customWidth="1" min="7" max="7"/>
    <col width="26" customWidth="1" min="8" max="8"/>
    <col width="40" customWidth="1" min="9" max="9"/>
  </cols>
  <sheetData>
    <row r="1">
      <c r="A1" s="8" t="inlineStr">
        <is>
          <t>순위</t>
        </is>
      </c>
      <c r="B1" s="8" t="inlineStr">
        <is>
          <t>업무 ID</t>
        </is>
      </c>
      <c r="C1" s="8" t="inlineStr">
        <is>
          <t>업무</t>
        </is>
      </c>
      <c r="D1" s="8" t="inlineStr">
        <is>
          <t>지금 방식</t>
        </is>
      </c>
      <c r="E1" s="8" t="inlineStr">
        <is>
          <t>AI가 해줄 수 있는 것</t>
        </is>
      </c>
      <c r="F1" s="8" t="inlineStr">
        <is>
          <t>필요한 재료·연결</t>
        </is>
      </c>
      <c r="G1" s="8" t="inlineStr">
        <is>
          <t>난이도</t>
        </is>
      </c>
      <c r="H1" s="8" t="inlineStr">
        <is>
          <t>기대 효과</t>
        </is>
      </c>
      <c r="I1" s="8" t="inlineStr">
        <is>
          <t>바로 해볼 첫 단계</t>
        </is>
      </c>
    </row>
    <row r="2">
      <c r="A2" s="14" t="n">
        <v>1</v>
      </c>
      <c r="B2" s="14" t="inlineStr">
        <is>
          <t>E-03</t>
        </is>
      </c>
      <c r="C2" s="15" t="inlineStr">
        <is>
          <t>사운드 키 적용 확인 ★</t>
        </is>
      </c>
      <c r="D2" s="15" t="inlineStr">
        <is>
          <t>사운드 키 시트를 보며 Unity에서 직접 재생하고 로그를 눈으로 대조</t>
        </is>
      </c>
      <c r="E2" s="15" t="inlineStr">
        <is>
          <t>① 시트 키 목록과 Unity 로그를 자동 대조해 '로그에 안 찍힌 키 / 오타 / 중복 / AudioClip 없음' 리포트 작성
② 모든 키를 차례로 재생하는 Editor 테스트 스크립트 작성
③ Unity MCP로 Claude가 콘솔 로그를 직접 읽음 (이미 설치되어 있음)</t>
        </is>
      </c>
      <c r="F2" s="15" t="inlineStr">
        <is>
          <t>사운드 키 시트(CSV 내보내기), Unity 로그(Editor.log 또는 Unity MCP), 사운드 재생 코드</t>
        </is>
      </c>
      <c r="G2" s="14" t="inlineStr">
        <is>
          <t>하</t>
        </is>
      </c>
      <c r="H2" s="15" t="inlineStr">
        <is>
          <t>확인 시간 대폭 단축, 누락 방지</t>
        </is>
      </c>
      <c r="I2" s="15" t="inlineStr">
        <is>
          <t>로그 형식을 '[Sound] Play: 키이름'으로 통일 → 시트 CSV와 로그를 Claude에 주고 대조 요청</t>
        </is>
      </c>
    </row>
    <row r="3">
      <c r="A3" s="14" t="n">
        <v>2</v>
      </c>
      <c r="B3" s="14" t="inlineStr">
        <is>
          <t>D-03</t>
        </is>
      </c>
      <c r="C3" s="15" t="inlineStr">
        <is>
          <t>피드백 적용 확인 ★</t>
        </is>
      </c>
      <c r="D3" s="15" t="inlineStr">
        <is>
          <t>피드백 시트 항목을 하나씩 보며 반영됐는지 직접 확인하고 상태 갱신</t>
        </is>
      </c>
      <c r="E3" s="15" t="inlineStr">
        <is>
          <t>① 피드백 ID와 GitLab 커밋 메시지·diff를 매칭해 '반영됨 / 미반영 / 확인 필요' 목록 자동 생성
② 시트 상태 컬럼 갱신안 작성</t>
        </is>
      </c>
      <c r="F3" s="15" t="inlineStr">
        <is>
          <t>피드백 시트, GitLab 커밋 기록, 커밋 메시지에 피드백 ID를 넣는 규칙</t>
        </is>
      </c>
      <c r="G3" s="14" t="inlineStr">
        <is>
          <t>중</t>
        </is>
      </c>
      <c r="H3" s="15" t="inlineStr">
        <is>
          <t>반영 누락 방지, 확인 시간 단축</t>
        </is>
      </c>
      <c r="I3" s="15" t="inlineStr">
        <is>
          <t>커밋 메시지에 피드백 번호를 넣기 시작 (예: 'FB-12 버튼 위치 수정') → 주 1회 대조 요청</t>
        </is>
      </c>
    </row>
    <row r="4">
      <c r="A4" s="9" t="n">
        <v>3</v>
      </c>
      <c r="B4" s="9" t="inlineStr">
        <is>
          <t>D-01, D-02</t>
        </is>
      </c>
      <c r="C4" s="10" t="inlineStr">
        <is>
          <t>피드백 정리·수정</t>
        </is>
      </c>
      <c r="D4" s="10" t="inlineStr">
        <is>
          <t>Slack·시트에 흩어진 피드백을 직접 읽고 관련 코드를 찾아 수정</t>
        </is>
      </c>
      <c r="E4" s="10" t="inlineStr">
        <is>
          <t>① 흩어진 피드백을 표로 정리하고 중복 제거
② 피드백 문장으로 관련 스크립트·프리팹 위치를 찾아 수정안 제시 (Claude Code)</t>
        </is>
      </c>
      <c r="F4" s="10" t="inlineStr">
        <is>
          <t>Slack 메시지, 피드백 시트, Unity 프로젝트 폴더</t>
        </is>
      </c>
      <c r="G4" s="9" t="inlineStr">
        <is>
          <t>중</t>
        </is>
      </c>
      <c r="H4" s="10" t="inlineStr">
        <is>
          <t>수정 착수 시간 단축</t>
        </is>
      </c>
      <c r="I4" s="10" t="inlineStr">
        <is>
          <t>피드백 1건을 Claude Code에 붙여넣고 '관련 코드 찾아서 수정안 보여줘' 시도</t>
        </is>
      </c>
    </row>
    <row r="5">
      <c r="A5" s="9" t="n">
        <v>4</v>
      </c>
      <c r="B5" s="9" t="inlineStr">
        <is>
          <t>F-02, F-01</t>
        </is>
      </c>
      <c r="C5" s="10" t="inlineStr">
        <is>
          <t>테스트 빌드 배포 공지</t>
        </is>
      </c>
      <c r="D5" s="10" t="inlineStr">
        <is>
          <t>빌드 후 변경사항을 직접 정리해 Slack에 공유</t>
        </is>
      </c>
      <c r="E5" s="10" t="inlineStr">
        <is>
          <t>① 지난 빌드 이후 커밋 기록을 요약해 공지문 자동 작성
② 나중에는 GitLab CI 자동 빌드 + Slack 자동 공지까지 확장</t>
        </is>
      </c>
      <c r="F5" s="10" t="inlineStr">
        <is>
          <t>GitLab 커밋 기록, Slack (웹훅 또는 커넥터)</t>
        </is>
      </c>
      <c r="G5" s="9" t="inlineStr">
        <is>
          <t>하→중</t>
        </is>
      </c>
      <c r="H5" s="10" t="inlineStr">
        <is>
          <t>매주 반복 작업 제거</t>
        </is>
      </c>
      <c r="I5" s="10" t="inlineStr">
        <is>
          <t>빌드 태그 사이 git log를 Claude에 주고 '기획·사운드가 읽을 공지문' 요청</t>
        </is>
      </c>
    </row>
    <row r="6">
      <c r="A6" s="9" t="n">
        <v>5</v>
      </c>
      <c r="B6" s="9" t="inlineStr">
        <is>
          <t>A-02, A-03</t>
        </is>
      </c>
      <c r="C6" s="10" t="inlineStr">
        <is>
          <t>주간회의 준비·진행도 갱신</t>
        </is>
      </c>
      <c r="D6" s="10" t="inlineStr">
        <is>
          <t>지난주 한 일을 기억과 커밋으로 정리, 진행도 시트 수동 갱신</t>
        </is>
      </c>
      <c r="E6" s="10" t="inlineStr">
        <is>
          <t>최근 7일 커밋·Slack을 요약해 '한 일 / 할 일 / 이슈' 주간 보고 초안 작성 → 매주 월요일 아침 자동 실행 가능</t>
        </is>
      </c>
      <c r="F6" s="10" t="inlineStr">
        <is>
          <t>GitLab 커밋 기록, 일정표 시트</t>
        </is>
      </c>
      <c r="G6" s="9" t="inlineStr">
        <is>
          <t>하</t>
        </is>
      </c>
      <c r="H6" s="10" t="inlineStr">
        <is>
          <t>월요일 준비 시간 단축</t>
        </is>
      </c>
      <c r="I6" s="10" t="inlineStr">
        <is>
          <t>월요일에 'git log --since=7.days' 결과로 주간 보고 초안 요청</t>
        </is>
      </c>
    </row>
    <row r="7">
      <c r="A7" s="9" t="n">
        <v>6</v>
      </c>
      <c r="B7" s="9" t="inlineStr">
        <is>
          <t>G-01, G-02</t>
        </is>
      </c>
      <c r="C7" s="10" t="inlineStr">
        <is>
          <t>다국어 반영·검수</t>
        </is>
      </c>
      <c r="D7" s="10" t="inlineStr">
        <is>
          <t>다국어 시트 내용을 프로젝트에 넣고 언어별 화면을 직접 확인</t>
        </is>
      </c>
      <c r="E7" s="10" t="inlineStr">
        <is>
          <t>시트 → 로컬라이징 데이터 변환, 누락 키·포맷 문자열 오류·글자수 초과 후보 사전 검출</t>
        </is>
      </c>
      <c r="F7" s="10" t="inlineStr">
        <is>
          <t>다국어 시트, 로컬라이징 데이터 구조</t>
        </is>
      </c>
      <c r="G7" s="9" t="inlineStr">
        <is>
          <t>중</t>
        </is>
      </c>
      <c r="H7" s="10" t="inlineStr">
        <is>
          <t>QA 전 오류 사전 발견</t>
        </is>
      </c>
      <c r="I7" s="10" t="inlineStr">
        <is>
          <t>다국어 시트 CSV를 주고 누락·이상값 검사 요청</t>
        </is>
      </c>
    </row>
    <row r="8">
      <c r="A8" s="9" t="n">
        <v>7</v>
      </c>
      <c r="B8" s="9" t="inlineStr">
        <is>
          <t>B-01 ~ B-04</t>
        </is>
      </c>
      <c r="C8" s="10" t="inlineStr">
        <is>
          <t>신규 프로젝트 세팅</t>
        </is>
      </c>
      <c r="D8" s="10" t="inlineStr">
        <is>
          <t>매번 비슷한 설정을 수동으로 반복</t>
        </is>
      </c>
      <c r="E8" s="10" t="inlineStr">
        <is>
          <t>세팅 체크리스트 문서화 + Editor 스크립트로 공통 설정 일괄 적용</t>
        </is>
      </c>
      <c r="F8" s="10" t="inlineStr">
        <is>
          <t>기존 프로젝트 설정값, 사내 템플릿</t>
        </is>
      </c>
      <c r="G8" s="9" t="inlineStr">
        <is>
          <t>중</t>
        </is>
      </c>
      <c r="H8" s="10" t="inlineStr">
        <is>
          <t>세팅 시간 단축, 설정 누락 방지</t>
        </is>
      </c>
      <c r="I8" s="10" t="inlineStr">
        <is>
          <t>다음 신규 프로젝트 때 세팅 과정을 기록해 체크리스트로 만들기</t>
        </is>
      </c>
    </row>
    <row r="9">
      <c r="A9" s="9" t="n">
        <v>8</v>
      </c>
      <c r="B9" s="9" t="inlineStr">
        <is>
          <t>H-02, H-03</t>
        </is>
      </c>
      <c r="C9" s="10" t="inlineStr">
        <is>
          <t>출시 준비</t>
        </is>
      </c>
      <c r="D9" s="10" t="inlineStr">
        <is>
          <t>스토어 정보·릴리즈 설정을 매번 직접 작성·확인</t>
        </is>
      </c>
      <c r="E9" s="10" t="inlineStr">
        <is>
          <t>다국어 스토어 설명문 초안, 키즈 앱 정책 체크리스트, 릴리즈 전 설정 점검(디버그 로그·테스트 코드 제거)</t>
        </is>
      </c>
      <c r="F9" s="10" t="inlineStr">
        <is>
          <t>기획 자료, 기존 스토어 정보</t>
        </is>
      </c>
      <c r="G9" s="9" t="inlineStr">
        <is>
          <t>하</t>
        </is>
      </c>
      <c r="H9" s="10" t="inlineStr">
        <is>
          <t>작성·점검 시간 단축</t>
        </is>
      </c>
      <c r="I9" s="10" t="inlineStr">
        <is>
          <t>기존 앱 스토어 설명을 주고 새 앱 설명 초안 요청</t>
        </is>
      </c>
    </row>
    <row r="10">
      <c r="A10" s="9" t="n">
        <v>9</v>
      </c>
      <c r="B10" s="9" t="inlineStr">
        <is>
          <t>I-01</t>
        </is>
      </c>
      <c r="C10" s="10" t="inlineStr">
        <is>
          <t>코드 정리</t>
        </is>
      </c>
      <c r="D10" s="10" t="inlineStr">
        <is>
          <t>출시 후 직접 코드를 훑으며 정리</t>
        </is>
      </c>
      <c r="E10" s="10" t="inlineStr">
        <is>
          <t>미사용 스크립트·에셋 탐지, 중복 코드 리팩토링 제안 (Claude Code)</t>
        </is>
      </c>
      <c r="F10" s="10" t="inlineStr">
        <is>
          <t>Unity 프로젝트 폴더</t>
        </is>
      </c>
      <c r="G10" s="9" t="inlineStr">
        <is>
          <t>중</t>
        </is>
      </c>
      <c r="H10" s="10" t="inlineStr">
        <is>
          <t>정리 시간 단축</t>
        </is>
      </c>
      <c r="I10" s="10" t="inlineStr">
        <is>
          <t>Claude Code로 '사용되지 않는 스크립트 찾아줘' 요청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2026-10-05T02:41:37Z</dcterms:created>
  <dcterms:modified xsi:type="dcterms:W3CDTF">2026-10-05T02:41:37Z</dcterms:modified>
</cp:coreProperties>
</file>